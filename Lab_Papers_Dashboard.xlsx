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🏠 Dashboard" sheetId="1" state="visible" r:id="rId3"/>
    <sheet name="📄 Papers Tracker" sheetId="2" state="visible" r:id="rId4"/>
    <sheet name="📨 Submissions Log" sheetId="3" state="visible" r:id="rId5"/>
    <sheet name="✅ Task Board" sheetId="4" state="visible" r:id="rId6"/>
    <sheet name="👥 Team Directory" sheetId="5" state="visible" r:id="rId7"/>
    <sheet name="📅 Weekly Updates" sheetId="6" state="visible" r:id="rId8"/>
    <sheet name="🎨 Legend &amp; Color Key" sheetId="7" state="visible" r:id="rId9"/>
    <sheet name="📖 Version Log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<sst xmlns="http://schemas.openxmlformats.org/spreadsheetml/2006/main" count="303" uniqueCount="244">
  <si>
    <t xml:space="preserve">🏠 Lab Research Dashboard</t>
  </si>
  <si>
    <t xml:space="preserve">Executive overview — live counts pull from Papers Tracker and Submissions Log.</t>
  </si>
  <si>
    <t xml:space="preserve">Total Papers</t>
  </si>
  <si>
    <t xml:space="preserve">Pre-Submission</t>
  </si>
  <si>
    <t xml:space="preserve">Currently Out for Review</t>
  </si>
  <si>
    <t xml:space="preserve">Accepted / Published</t>
  </si>
  <si>
    <t xml:space="preserve">Overdue</t>
  </si>
  <si>
    <t xml:space="preserve">Needs Status</t>
  </si>
  <si>
    <t xml:space="preserve">Pre-Submission Papers by Stage</t>
  </si>
  <si>
    <t xml:space="preserve">Submitted Papers by Latest Decision</t>
  </si>
  <si>
    <t xml:space="preserve">Workload by Owner</t>
  </si>
  <si>
    <t xml:space="preserve">Stage</t>
  </si>
  <si>
    <t xml:space="preserve">Count</t>
  </si>
  <si>
    <t xml:space="preserve">Decision</t>
  </si>
  <si>
    <t xml:space="preserve">Owner</t>
  </si>
  <si>
    <t xml:space="preserve">Papers</t>
  </si>
  <si>
    <t xml:space="preserve">Idea</t>
  </si>
  <si>
    <t xml:space="preserve">Under Review</t>
  </si>
  <si>
    <t xml:space="preserve">Mohammad Shahin</t>
  </si>
  <si>
    <t xml:space="preserve">Drafting</t>
  </si>
  <si>
    <t xml:space="preserve">Revise &amp; Resubmit</t>
  </si>
  <si>
    <t xml:space="preserve">Nik</t>
  </si>
  <si>
    <t xml:space="preserve">Internal Review</t>
  </si>
  <si>
    <t xml:space="preserve">Accepted</t>
  </si>
  <si>
    <t xml:space="preserve">Ryohei</t>
  </si>
  <si>
    <t xml:space="preserve">On Hold</t>
  </si>
  <si>
    <t xml:space="preserve">Rejected</t>
  </si>
  <si>
    <t xml:space="preserve">Withdrawn</t>
  </si>
  <si>
    <t xml:space="preserve">💡 How this workbook flows</t>
  </si>
  <si>
    <t xml:space="preserve">• Before a paper is submitted anywhere: set its Stage on Papers Tracker (Idea / Drafting / Internal Review).</t>
  </si>
  <si>
    <t xml:space="preserve">• The moment it's sent to a journal or conference: add one row to 📨 Submissions Log — pick the paper, fill in the venue.</t>
  </si>
  <si>
    <t xml:space="preserve">• Rejected and resubmitting elsewhere? Add another Submissions Log row for the same paper — 'Attempts' and 'Current Venue' update automatically, and you keep the full history.</t>
  </si>
  <si>
    <t xml:space="preserve">• You never need to re-type a paper title or a venue in two places — Papers Tracker just reads the latest Submissions Log row for each paper.</t>
  </si>
  <si>
    <t xml:space="preserve">📄 Papers Tracker</t>
  </si>
  <si>
    <t xml:space="preserve">One row per paper. Log every journal/conference attempt in 📨 Submissions Log — Current Venue, Deadline, and Status here update automatically.</t>
  </si>
  <si>
    <t xml:space="preserve">ID</t>
  </si>
  <si>
    <t xml:space="preserve">Paper Title</t>
  </si>
  <si>
    <t xml:space="preserve">Status</t>
  </si>
  <si>
    <t xml:space="preserve">Priority</t>
  </si>
  <si>
    <t xml:space="preserve">Target Venue
(pre-submission)</t>
  </si>
  <si>
    <t xml:space="preserve">Target Deadline
(pre-submission)</t>
  </si>
  <si>
    <t xml:space="preserve">Attempts</t>
  </si>
  <si>
    <t xml:space="preserve">Current Venue</t>
  </si>
  <si>
    <t xml:space="preserve">Deadline</t>
  </si>
  <si>
    <t xml:space="preserve">Days Left</t>
  </si>
  <si>
    <t xml:space="preserve">Latest Decision</t>
  </si>
  <si>
    <t xml:space="preserve">Authors</t>
  </si>
  <si>
    <t xml:space="preserve">Final File</t>
  </si>
  <si>
    <t xml:space="preserve">Published Date</t>
  </si>
  <si>
    <t xml:space="preserve">Progress %</t>
  </si>
  <si>
    <t xml:space="preserve">Last Updated</t>
  </si>
  <si>
    <t xml:space="preserve">GitHub Repo</t>
  </si>
  <si>
    <t xml:space="preserve">Notes</t>
  </si>
  <si>
    <t xml:space="preserve">P001</t>
  </si>
  <si>
    <t xml:space="preserve">Instruments of Inquiry: Rethinking Clinical Measurement for the Age of AI</t>
  </si>
  <si>
    <t xml:space="preserve">Medium</t>
  </si>
  <si>
    <t xml:space="preserve">npj</t>
  </si>
  <si>
    <t xml:space="preserve">Waiting on results from experiment 3</t>
  </si>
  <si>
    <t xml:space="preserve">P002</t>
  </si>
  <si>
    <t xml:space="preserve">Distributed Open Justice Oversight (DOJO) A Community-Driven, Modality-Agnostic Platform for Adversarial Evaluation of Health AI</t>
  </si>
  <si>
    <t xml:space="preserve">P003</t>
  </si>
  <si>
    <t xml:space="preserve">SAKSHI: The Witness We Need Structured Accountability through Knowledge, Scrutiny, and Health Integrity A Community-Operated Investigative Platform for Applied AI in Health</t>
  </si>
  <si>
    <t xml:space="preserve">P004</t>
  </si>
  <si>
    <t xml:space="preserve">AI Sriracha: Training the Next Generation as Double Agents</t>
  </si>
  <si>
    <t xml:space="preserve">Lancet</t>
  </si>
  <si>
    <t xml:space="preserve">AI-Sriracha-Final.pdf</t>
  </si>
  <si>
    <t xml:space="preserve">P005</t>
  </si>
  <si>
    <t xml:space="preserve">Bayanihan, a Mandate for Healing: Reclaiming the Soul of Medicine in the Age of Artificial Intelligence</t>
  </si>
  <si>
    <t xml:space="preserve">mandate_for_healing.pdf</t>
  </si>
  <si>
    <t xml:space="preserve">P006</t>
  </si>
  <si>
    <t xml:space="preserve">Before You Build: Seven Misconceptions Health AI Developers Must Confront in Global Public Health</t>
  </si>
  <si>
    <t xml:space="preserve">Submitted as DOCX to OSF</t>
  </si>
  <si>
    <t xml:space="preserve">P007</t>
  </si>
  <si>
    <t xml:space="preserve">Humans Will Only Succeed If We Design AI to Make Us More Human</t>
  </si>
  <si>
    <t xml:space="preserve">P008</t>
  </si>
  <si>
    <t xml:space="preserve">LLeoMe: Your AI Mentor Woven from Many Voices</t>
  </si>
  <si>
    <t xml:space="preserve">P009</t>
  </si>
  <si>
    <t xml:space="preserve">Pluralism as Virtue Signalling</t>
  </si>
  <si>
    <t xml:space="preserve">Pluralism.pdf</t>
  </si>
  <si>
    <t xml:space="preserve">P010</t>
  </si>
  <si>
    <t xml:space="preserve">Scholarship in the Age of AI: Whose Frameworks, Whose Futures?</t>
  </si>
  <si>
    <t xml:space="preserve">P011</t>
  </si>
  <si>
    <t xml:space="preserve">The Bulldozing Has Begun and We Are Rearranging the Furniture</t>
  </si>
  <si>
    <t xml:space="preserve">P012</t>
  </si>
  <si>
    <t xml:space="preserve">The Dangerous Folly of Banning AI in High Schools</t>
  </si>
  <si>
    <t xml:space="preserve">P013</t>
  </si>
  <si>
    <t xml:space="preserve">The Mandate for Hope: Embrace the Madrugada</t>
  </si>
  <si>
    <t xml:space="preserve">P014</t>
  </si>
  <si>
    <t xml:space="preserve">The Oracle in Your Pocket: How Artificial Intelligence May Amplify the Dunning–Kruger Effect and Why Epistemic Humility Matters</t>
  </si>
  <si>
    <t xml:space="preserve">Science or Nature</t>
  </si>
  <si>
    <t xml:space="preserve">oracle_in_your_pocket.pdf</t>
  </si>
  <si>
    <t xml:space="preserve">P015</t>
  </si>
  <si>
    <t xml:space="preserve">The Provenance of Foundation Models: Toward a Model Card That Demands Understanding</t>
  </si>
  <si>
    <t xml:space="preserve">Provenance-Final.pdf</t>
  </si>
  <si>
    <t xml:space="preserve">P016</t>
  </si>
  <si>
    <t xml:space="preserve">The Science Without Makeup: Storytelling, Provenance, and the Radical Rebooting of Scientific Rigor in the Age of AI</t>
  </si>
  <si>
    <t xml:space="preserve">Science_Without_Makeup.pdf</t>
  </si>
  <si>
    <t xml:space="preserve">P017</t>
  </si>
  <si>
    <t xml:space="preserve">The Uncertainty of Uncertainty Bounds: Why Healthcare AI Requires Human Evolution, Not Just Better Algorithms</t>
  </si>
  <si>
    <t xml:space="preserve">P018</t>
  </si>
  <si>
    <t xml:space="preserve">There's Something New Under the Sun</t>
  </si>
  <si>
    <t xml:space="preserve">P019</t>
  </si>
  <si>
    <t xml:space="preserve">Centennial Reflections of Academia’s ‘Publish or Perish’ Culture</t>
  </si>
  <si>
    <t xml:space="preserve">P020</t>
  </si>
  <si>
    <t xml:space="preserve">Waking from the Trance: A Revolution of Mindset in the Age of AI</t>
  </si>
  <si>
    <t xml:space="preserve">P021</t>
  </si>
  <si>
    <t xml:space="preserve">The Illusion of Patient Representation: What Routine Clinical Data Actually Encodes</t>
  </si>
  <si>
    <t xml:space="preserve">Nature Machine Intelligence</t>
  </si>
  <si>
    <t xml:space="preserve">P022</t>
  </si>
  <si>
    <t xml:space="preserve">Seeing Harm at Scale: Why Clinical AI Accountability Requires New Infrastructure</t>
  </si>
  <si>
    <t xml:space="preserve">P023</t>
  </si>
  <si>
    <t xml:space="preserve">Certified and Unprepared</t>
  </si>
  <si>
    <t xml:space="preserve">P024</t>
  </si>
  <si>
    <t xml:space="preserve">Resetting the Compass: Toward Human-Centered AI Design for Older Adults</t>
  </si>
  <si>
    <t xml:space="preserve">Resetting_the_Compass_revised</t>
  </si>
  <si>
    <t xml:space="preserve">P025</t>
  </si>
  <si>
    <t xml:space="preserve">AGENTS CATCHING AGENTS: DETECTING BENCHMARK GAMING IN AI SYSTEMS</t>
  </si>
  <si>
    <t xml:space="preserve">P026</t>
  </si>
  <si>
    <t xml:space="preserve">Mice in a Maze: What Medical Education Gets Wrong About Intelligence, and Why AI Will Not Fix It</t>
  </si>
  <si>
    <t xml:space="preserve">P027</t>
  </si>
  <si>
    <t xml:space="preserve">Seven Years After the AI Clinician: The Unfinished Promise of Reinforcement Learning in Healthcare</t>
  </si>
  <si>
    <t xml:space="preserve">Nature Medicine</t>
  </si>
  <si>
    <t xml:space="preserve">P028</t>
  </si>
  <si>
    <t xml:space="preserve">The Crystal Ball Problem: Why Prediction Models Are Not Guaranteed to Improve Health Outcomes</t>
  </si>
  <si>
    <t xml:space="preserve">P029</t>
  </si>
  <si>
    <t xml:space="preserve">ARCAI: A Supervised Multi-Agent Architecture for Autonomous Clinical Research Orchestration</t>
  </si>
  <si>
    <t xml:space="preserve">P030</t>
  </si>
  <si>
    <t xml:space="preserve">SOFA_Leakage_Sepsis_RL_Manuscript_DRAFT</t>
  </si>
  <si>
    <t xml:space="preserve">BU Health AI</t>
  </si>
  <si>
    <t xml:space="preserve">📨 Submissions Log</t>
  </si>
  <si>
    <t xml:space="preserve">One row per submission attempt. Pick the paper from the dropdown — everything on Papers Tracker (Current Venue, Deadline, Status) updates automatically, no need to re-enter or re-type anything there.</t>
  </si>
  <si>
    <t xml:space="preserve">Paper</t>
  </si>
  <si>
    <t xml:space="preserve">Attempt #</t>
  </si>
  <si>
    <t xml:space="preserve">Key</t>
  </si>
  <si>
    <t xml:space="preserve">Venue / Journal or Conference</t>
  </si>
  <si>
    <t xml:space="preserve">Submitted Date</t>
  </si>
  <si>
    <t xml:space="preserve">Response Deadline</t>
  </si>
  <si>
    <t xml:space="preserve">Decision Date</t>
  </si>
  <si>
    <t xml:space="preserve">PLOS Global Public Health</t>
  </si>
  <si>
    <t xml:space="preserve">TBD</t>
  </si>
  <si>
    <t xml:space="preserve">The Lancet</t>
  </si>
  <si>
    <t xml:space="preserve">Example: first attempt, rejected — see next row for resubmission</t>
  </si>
  <si>
    <t xml:space="preserve">npj Digital Medicine</t>
  </si>
  <si>
    <t xml:space="preserve">Example: resubmitted here after the Lancet rejection — Papers Tracker now shows THIS as Current Venue</t>
  </si>
  <si>
    <t xml:space="preserve">✅ Task Board</t>
  </si>
  <si>
    <t xml:space="preserve">'Related Paper' is a dropdown pulled from Papers Tracker — pick it, don't retype it.</t>
  </si>
  <si>
    <t xml:space="preserve">Task</t>
  </si>
  <si>
    <t xml:space="preserve">Description</t>
  </si>
  <si>
    <t xml:space="preserve">Assigned To</t>
  </si>
  <si>
    <t xml:space="preserve">Related Paper</t>
  </si>
  <si>
    <t xml:space="preserve">Est. Hours</t>
  </si>
  <si>
    <t xml:space="preserve">% Complete</t>
  </si>
  <si>
    <t xml:space="preserve">Draft Methods section</t>
  </si>
  <si>
    <t xml:space="preserve">Write up the causal inference approach for Section 3</t>
  </si>
  <si>
    <t xml:space="preserve">High</t>
  </si>
  <si>
    <t xml:space="preserve">In Progress</t>
  </si>
  <si>
    <t xml:space="preserve">Example row — replace with a real task, or delete.</t>
  </si>
  <si>
    <t xml:space="preserve">👥 Team Directory</t>
  </si>
  <si>
    <t xml:space="preserve">'Current Papers' counts automatically from the Owner column in Papers Tracker.</t>
  </si>
  <si>
    <t xml:space="preserve">Name</t>
  </si>
  <si>
    <t xml:space="preserve">Role</t>
  </si>
  <si>
    <t xml:space="preserve">Focus Area</t>
  </si>
  <si>
    <t xml:space="preserve">Current Papers</t>
  </si>
  <si>
    <t xml:space="preserve">Email</t>
  </si>
  <si>
    <t xml:space="preserve">Availability</t>
  </si>
  <si>
    <t xml:space="preserve">Researcher / MPH Student</t>
  </si>
  <si>
    <t xml:space="preserve">Clinical AI safety, causal inference, multi-agent LLM systems</t>
  </si>
  <si>
    <t xml:space="preserve">Leo Anthony Celi</t>
  </si>
  <si>
    <t xml:space="preserve">Principal Investigator</t>
  </si>
  <si>
    <t xml:space="preserve">Lab PI — Laboratory for Computational Physiology</t>
  </si>
  <si>
    <t xml:space="preserve">Collaborator</t>
  </si>
  <si>
    <t xml:space="preserve">Add every additional lab member as a new row above. Email / Availability are free text.</t>
  </si>
  <si>
    <t xml:space="preserve">📅 Weekly Updates</t>
  </si>
  <si>
    <t xml:space="preserve">Under two minutes per person, one new row per week.</t>
  </si>
  <si>
    <t xml:space="preserve">Week Of</t>
  </si>
  <si>
    <t xml:space="preserve">Completed This Week</t>
  </si>
  <si>
    <t xml:space="preserve">Working On Now</t>
  </si>
  <si>
    <t xml:space="preserve">Blockers</t>
  </si>
  <si>
    <t xml:space="preserve">Need Help With</t>
  </si>
  <si>
    <t xml:space="preserve">Next Week's Goal</t>
  </si>
  <si>
    <t xml:space="preserve">Finished the MIMIC-CXR imaging battery re-run for Agents Catching Agents</t>
  </si>
  <si>
    <t xml:space="preserve">Translating journalist profiles; DOJO paper review comments</t>
  </si>
  <si>
    <t xml:space="preserve">Waiting on experiment 3 results for Instruments of Inquiry</t>
  </si>
  <si>
    <t xml:space="preserve">Second pair of eyes on the DOJO evaluator recalibration protocol section</t>
  </si>
  <si>
    <t xml:space="preserve">Hand off imaging battery cleanly, finish DOJO review pass</t>
  </si>
  <si>
    <t xml:space="preserve">🎨 Legend &amp; Color Key</t>
  </si>
  <si>
    <t xml:space="preserve">How the Papers Tracker + Submissions Log system works.</t>
  </si>
  <si>
    <t xml:space="preserve">HOW THE TWO SHEETS FIT TOGETHER</t>
  </si>
  <si>
    <t xml:space="preserve">• Papers Tracker = one row per paper (its identity: title, authors, owner, files).</t>
  </si>
  <si>
    <t xml:space="preserve">• Submissions Log = one row per submission attempt (a paper can have many).</t>
  </si>
  <si>
    <t xml:space="preserve">• Pick the paper from a dropdown in the Submissions Log — its title is never re-typed.</t>
  </si>
  <si>
    <t xml:space="preserve">• Papers Tracker's Current Venue / Deadline / Status read the latest matching row automatically.</t>
  </si>
  <si>
    <t xml:space="preserve">• Rejected and sending elsewhere? Add a new Submissions Log row for the same paper.</t>
  </si>
  <si>
    <t xml:space="preserve">STAGE (pre-submission, on Papers Tracker)</t>
  </si>
  <si>
    <t xml:space="preserve">STATUS BADGE (auto-calculated)</t>
  </si>
  <si>
    <t xml:space="preserve">Value</t>
  </si>
  <si>
    <t xml:space="preserve">Meaning</t>
  </si>
  <si>
    <t xml:space="preserve">Badge</t>
  </si>
  <si>
    <t xml:space="preserve">Concept stage — not yet started</t>
  </si>
  <si>
    <t xml:space="preserve">⚪ Published</t>
  </si>
  <si>
    <t xml:space="preserve">Published Date has been filled in</t>
  </si>
  <si>
    <t xml:space="preserve">Actively being written</t>
  </si>
  <si>
    <t xml:space="preserve">⚪ Completed</t>
  </si>
  <si>
    <t xml:space="preserve">Latest decision is Accepted</t>
  </si>
  <si>
    <t xml:space="preserve">Circulating for co-author / lab feedback</t>
  </si>
  <si>
    <t xml:space="preserve">🔴 Closed — resubmit?</t>
  </si>
  <si>
    <t xml:space="preserve">Latest decision is Rejected</t>
  </si>
  <si>
    <t xml:space="preserve">Paused — no active work</t>
  </si>
  <si>
    <t xml:space="preserve">🟡 Needs Attention</t>
  </si>
  <si>
    <t xml:space="preserve">R&amp;R pending, or deadline within 14 days</t>
  </si>
  <si>
    <t xml:space="preserve">🟠 Waiting</t>
  </si>
  <si>
    <t xml:space="preserve">Idea / On Hold / Withdrawn</t>
  </si>
  <si>
    <t xml:space="preserve">DECISION (in Submissions Log, once submitted)</t>
  </si>
  <si>
    <t xml:space="preserve">🔴 Overdue</t>
  </si>
  <si>
    <t xml:space="preserve">Deadline has passed with no decision yet</t>
  </si>
  <si>
    <t xml:space="preserve">🔵 Reviewing</t>
  </si>
  <si>
    <t xml:space="preserve">Out for review, or in Internal Review pre-submission</t>
  </si>
  <si>
    <t xml:space="preserve">In peer review at this venue</t>
  </si>
  <si>
    <t xml:space="preserve">🟢 On Track</t>
  </si>
  <si>
    <t xml:space="preserve">Drafting, no deadline pressure</t>
  </si>
  <si>
    <t xml:space="preserve">Reviewer revisions in progress</t>
  </si>
  <si>
    <t xml:space="preserve">⚪ Needs Status</t>
  </si>
  <si>
    <t xml:space="preserve">Stage hasn't been set and nothing's been submitted yet</t>
  </si>
  <si>
    <t xml:space="preserve">Accepted, pending camera-ready / publication</t>
  </si>
  <si>
    <t xml:space="preserve">Not accepted at this venue — log a new row if resubmitting elsewhere</t>
  </si>
  <si>
    <t xml:space="preserve">PRIORITY</t>
  </si>
  <si>
    <t xml:space="preserve">Pulled from consideration at this venue</t>
  </si>
  <si>
    <t xml:space="preserve">Active deadline / lab priority — needs attention now</t>
  </si>
  <si>
    <t xml:space="preserve">Steady progress expected, no immediate deadline</t>
  </si>
  <si>
    <t xml:space="preserve">Low</t>
  </si>
  <si>
    <t xml:space="preserve">Backburner / exploratory</t>
  </si>
  <si>
    <t xml:space="preserve">📖 Version Log</t>
  </si>
  <si>
    <t xml:space="preserve">History of changes to this workbook.</t>
  </si>
  <si>
    <t xml:space="preserve">Version</t>
  </si>
  <si>
    <t xml:space="preserve">Date</t>
  </si>
  <si>
    <t xml:space="preserve">Updated By</t>
  </si>
  <si>
    <t xml:space="preserve">Summary of Changes</t>
  </si>
  <si>
    <t xml:space="preserve">v1.0</t>
  </si>
  <si>
    <t xml:space="preserve">Original tracker created: Title, Link, Conference/Journal, Deadline, Status, Lead/Submitter, Co-Authors, Priority, Notes with color-coded Status and Priority dropdowns, automatic conditional formatting, overdue/upcoming-deadline highlighting, a Legend tab, and this Version Log tab.</t>
  </si>
  <si>
    <t xml:space="preserve">v2.0</t>
  </si>
  <si>
    <t xml:space="preserve">Mohammad Shahin (redesign via Claude)</t>
  </si>
  <si>
    <t xml:space="preserve">Rebuilt as a full lab dashboard with Dashboard, Papers Tracker, Task Board, Team Directory, Weekly Updates, and expanded Legend. All 30 existing papers migrated with no data loss.</t>
  </si>
  <si>
    <t xml:space="preserve">v2.1</t>
  </si>
  <si>
    <t xml:space="preserve">Added 📨 Submissions Log to fix cross-sheet re-entry: a paper can now go to multiple journals/conferences over time without overwriting history. Papers Tracker's Current Venue, Deadline, Latest Decision, and Status are now auto-pulled from the latest logged attempt — nothing is typed twice. Task Board's 'Related Paper' and Submissions Log's 'Paper' are now searchable dropdowns instead of free text, so titles never need retyping.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</si>
</sst>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mmm\ d&quot;, &quot;yyyy"/>
  </numFmts>
  <fonts count="3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i val="true"/>
      <sz val="10"/>
      <color rgb="FFD1D5DB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22"/>
      <color rgb="FF2563EB"/>
      <name val="Arial"/>
      <family val="0"/>
      <charset val="1"/>
    </font>
    <font>
      <b val="true"/>
      <sz val="22"/>
      <color rgb="FF7C3AED"/>
      <name val="Arial"/>
      <family val="0"/>
      <charset val="1"/>
    </font>
    <font>
      <b val="true"/>
      <sz val="22"/>
      <color rgb="FF059669"/>
      <name val="Arial"/>
      <family val="0"/>
      <charset val="1"/>
    </font>
    <font>
      <b val="true"/>
      <sz val="22"/>
      <color rgb="FFDC2626"/>
      <name val="Arial"/>
      <family val="0"/>
      <charset val="1"/>
    </font>
    <font>
      <b val="true"/>
      <sz val="22"/>
      <color rgb="FF6B7280"/>
      <name val="Arial"/>
      <family val="0"/>
      <charset val="1"/>
    </font>
    <font>
      <b val="true"/>
      <sz val="12"/>
      <color rgb="FF1F2937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111827"/>
      <name val="Arial"/>
      <family val="0"/>
      <charset val="1"/>
    </font>
    <font>
      <sz val="10"/>
      <color rgb="FF334155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sz val="9"/>
      <color rgb="FF6B7280"/>
      <name val="Arial"/>
      <family val="0"/>
      <charset val="1"/>
    </font>
    <font>
      <i val="true"/>
      <sz val="10"/>
      <color rgb="FF6B7280"/>
      <name val="Arial"/>
      <family val="0"/>
      <charset val="1"/>
    </font>
    <font>
      <sz val="10"/>
      <color rgb="FF6B7280"/>
      <name val="Arial"/>
      <family val="0"/>
      <charset val="1"/>
    </font>
    <font>
      <i val="true"/>
      <sz val="9"/>
      <color rgb="FF6B7280"/>
      <name val="Arial"/>
      <family val="0"/>
      <charset val="1"/>
    </font>
    <font>
      <b val="true"/>
      <sz val="11"/>
      <color rgb="FF6B7280"/>
      <name val="Arial"/>
      <family val="0"/>
      <charset val="1"/>
    </font>
    <font>
      <b val="true"/>
      <sz val="11"/>
      <color rgb="FF374151"/>
      <name val="Arial"/>
      <family val="0"/>
      <charset val="1"/>
    </font>
    <font>
      <b val="true"/>
      <sz val="11"/>
      <color rgb="FF2563EB"/>
      <name val="Arial"/>
      <family val="0"/>
      <charset val="1"/>
    </font>
    <font>
      <b val="true"/>
      <sz val="11"/>
      <color rgb="FF7C3AED"/>
      <name val="Arial"/>
      <family val="0"/>
      <charset val="1"/>
    </font>
    <font>
      <b val="true"/>
      <sz val="11"/>
      <color rgb="FFDC2626"/>
      <name val="Arial"/>
      <family val="0"/>
      <charset val="1"/>
    </font>
    <font>
      <b val="true"/>
      <sz val="11"/>
      <color rgb="FFD97706"/>
      <name val="Arial"/>
      <family val="0"/>
      <charset val="1"/>
    </font>
    <font>
      <b val="true"/>
      <sz val="11"/>
      <color rgb="FFB45309"/>
      <name val="Arial"/>
      <family val="0"/>
      <charset val="1"/>
    </font>
    <font>
      <b val="true"/>
      <sz val="11"/>
      <color rgb="FF059669"/>
      <name val="Arial"/>
      <family val="0"/>
      <charset val="1"/>
    </font>
  </fonts>
  <fills count="17">
    <fill>
      <patternFill patternType="none"/>
    </fill>
    <fill>
      <patternFill patternType="gray125"/>
    </fill>
    <fill>
      <patternFill patternType="solid">
        <fgColor rgb="FF1F2937"/>
        <bgColor rgb="FF111827"/>
      </patternFill>
    </fill>
    <fill>
      <patternFill patternType="solid">
        <fgColor rgb="FF2563EB"/>
        <bgColor rgb="FF0066CC"/>
      </patternFill>
    </fill>
    <fill>
      <patternFill patternType="solid">
        <fgColor rgb="FF7C3AED"/>
        <bgColor rgb="FF8064A2"/>
      </patternFill>
    </fill>
    <fill>
      <patternFill patternType="solid">
        <fgColor rgb="FF059669"/>
        <bgColor rgb="FF008080"/>
      </patternFill>
    </fill>
    <fill>
      <patternFill patternType="solid">
        <fgColor rgb="FFDC2626"/>
        <bgColor rgb="FFC0504D"/>
      </patternFill>
    </fill>
    <fill>
      <patternFill patternType="solid">
        <fgColor rgb="FF6B7280"/>
        <bgColor rgb="FF8064A2"/>
      </patternFill>
    </fill>
    <fill>
      <patternFill patternType="solid">
        <fgColor rgb="FFFFFFFF"/>
        <bgColor rgb="FFF9FAFB"/>
      </patternFill>
    </fill>
    <fill>
      <patternFill patternType="solid">
        <fgColor rgb="FF334155"/>
        <bgColor rgb="FF374151"/>
      </patternFill>
    </fill>
    <fill>
      <patternFill patternType="solid">
        <fgColor rgb="FFF9FAFB"/>
        <bgColor rgb="FFFFFFFF"/>
      </patternFill>
    </fill>
    <fill>
      <patternFill patternType="solid">
        <fgColor rgb="FFF3F4F6"/>
        <bgColor rgb="FFF9FAFB"/>
      </patternFill>
    </fill>
    <fill>
      <patternFill patternType="solid">
        <fgColor rgb="FFDBEAFE"/>
        <bgColor rgb="FFE5E7EB"/>
      </patternFill>
    </fill>
    <fill>
      <patternFill patternType="solid">
        <fgColor rgb="FFEDE9FE"/>
        <bgColor rgb="FFE5E7EB"/>
      </patternFill>
    </fill>
    <fill>
      <patternFill patternType="solid">
        <fgColor rgb="FFFEE2E2"/>
        <bgColor rgb="FFEDE9FE"/>
      </patternFill>
    </fill>
    <fill>
      <patternFill patternType="solid">
        <fgColor rgb="FFFEF3C7"/>
        <bgColor rgb="FFFFFBEB"/>
      </patternFill>
    </fill>
    <fill>
      <patternFill patternType="solid">
        <fgColor rgb="FFD1FAE5"/>
        <bgColor rgb="FFDBEAF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5" fillId="2" borderId="0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6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7" fillId="8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8" fillId="8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9" fillId="8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10" fillId="8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11" fillId="8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3" fillId="9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14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1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4" fillId="1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4" fillId="1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14" fillId="1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14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10" borderId="1" xfId="0" applyFont="fals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10" borderId="1" xfId="0" applyFont="false" applyBorder="true" applyAlignment="true" applyProtection="true">
      <alignment horizontal="center" vertical="center" textRotation="0" wrapText="true" indent="0" shrinkToFit="false"/>
      <protection locked="true" hidden="false"/>
    </xf>
    <xf numFmtId="166" fontId="0" fillId="10" borderId="1" xfId="0" applyFont="fals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center" textRotation="0" wrapText="true" indent="0" shrinkToFit="false"/>
      <protection locked="true" hidden="false"/>
    </xf>
    <xf numFmtId="166" fontId="0" fillId="0" borderId="1" xfId="0" applyFont="fals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9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9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19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0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21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2" fillId="11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23" fillId="11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24" fillId="1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25" fillId="13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26" fillId="14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27" fillId="15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28" fillId="15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29" fillId="16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ont>
        <name val="Arial"/>
        <charset val="1"/>
        <family val="0"/>
        <b val="1"/>
        <color rgb="FF6B7280"/>
      </font>
      <fill>
        <patternFill>
          <bgColor rgb="FFF3F4F6"/>
        </patternFill>
      </fill>
    </dxf>
    <dxf>
      <font>
        <name val="Arial"/>
        <charset val="1"/>
        <family val="0"/>
        <b val="1"/>
        <color rgb="FF2563EB"/>
      </font>
      <fill>
        <patternFill>
          <bgColor rgb="FFDBEAFE"/>
        </patternFill>
      </fill>
    </dxf>
    <dxf>
      <font>
        <name val="Arial"/>
        <charset val="1"/>
        <family val="0"/>
        <b val="1"/>
        <color rgb="FF7C3AED"/>
      </font>
      <fill>
        <patternFill>
          <bgColor rgb="FFEDE9FE"/>
        </patternFill>
      </fill>
    </dxf>
    <dxf>
      <font>
        <name val="Arial"/>
        <charset val="1"/>
        <family val="0"/>
        <b val="1"/>
        <color rgb="FFDC2626"/>
      </font>
      <fill>
        <patternFill>
          <bgColor rgb="FFFEE2E2"/>
        </patternFill>
      </fill>
    </dxf>
    <dxf>
      <font>
        <name val="Arial"/>
        <charset val="1"/>
        <family val="0"/>
        <b val="1"/>
        <color rgb="FFD97706"/>
      </font>
      <fill>
        <patternFill>
          <bgColor rgb="FFFEF3C7"/>
        </patternFill>
      </fill>
    </dxf>
    <dxf>
      <font>
        <name val="Arial"/>
        <charset val="1"/>
        <family val="0"/>
        <b val="1"/>
        <color rgb="FF374151"/>
      </font>
      <fill>
        <patternFill>
          <bgColor rgb="FFF3F4F6"/>
        </patternFill>
      </fill>
    </dxf>
    <dxf>
      <font>
        <name val="Arial"/>
        <charset val="1"/>
        <family val="0"/>
        <b val="1"/>
        <color rgb="FFB45309"/>
      </font>
      <fill>
        <patternFill>
          <bgColor rgb="FFFEF3C7"/>
        </patternFill>
      </fill>
    </dxf>
    <dxf>
      <font>
        <name val="Arial"/>
        <charset val="1"/>
        <family val="0"/>
        <b val="1"/>
        <color rgb="FF059669"/>
      </font>
      <fill>
        <patternFill>
          <bgColor rgb="FFD1FAE5"/>
        </patternFill>
      </fill>
    </dxf>
    <dxf>
      <fill>
        <patternFill>
          <bgColor rgb="FFFFFBEB"/>
        </patternFill>
      </fill>
    </dxf>
    <dxf>
      <fill>
        <patternFill>
          <bgColor rgb="FFFEE2E2"/>
        </patternFill>
      </fill>
    </dxf>
  </dxfs>
  <colors>
    <indexedColors>
      <rgbColor rgb="FF000000"/>
      <rgbColor rgb="FFFFFFFF"/>
      <rgbColor rgb="FFDC2626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59669"/>
      <rgbColor rgb="FFD9D9D9"/>
      <rgbColor rgb="FF878787"/>
      <rgbColor rgb="FF9999FF"/>
      <rgbColor rgb="FFC0504D"/>
      <rgbColor rgb="FFFEF3C7"/>
      <rgbColor rgb="FFDBEAFE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3F4F6"/>
      <rgbColor rgb="FFD1FAE5"/>
      <rgbColor rgb="FFFFFBEB"/>
      <rgbColor rgb="FFE5E7EB"/>
      <rgbColor rgb="FFF9FAFB"/>
      <rgbColor rgb="FFEDE9FE"/>
      <rgbColor rgb="FFFEE2E2"/>
      <rgbColor rgb="FF2563EB"/>
      <rgbColor rgb="FF33CCCC"/>
      <rgbColor rgb="FF9BBB59"/>
      <rgbColor rgb="FFFFCC00"/>
      <rgbColor rgb="FFFF9900"/>
      <rgbColor rgb="FFD97706"/>
      <rgbColor rgb="FF6B7280"/>
      <rgbColor rgb="FF8064A2"/>
      <rgbColor rgb="FF003366"/>
      <rgbColor rgb="FF4F81BD"/>
      <rgbColor rgb="FF111827"/>
      <rgbColor rgb="FF374151"/>
      <rgbColor rgb="FFB45309"/>
      <rgbColor rgb="FF7C3AED"/>
      <rgbColor rgb="FF334155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Pre-Submission Stage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'🏠 Dashboard'!B8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0">
                <a:noFill/>
              </a:ln>
            </c:spPr>
          </c:dPt>
          <c:dLbls>
            <c:numFmt formatCode="General" sourceLinked="1"/>
            <c:dLbl>
              <c:idx val="0"/>
              <c:numFmt formatCode="General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numFmt formatCode="General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2"/>
              <c:numFmt formatCode="General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3"/>
              <c:numFmt formatCode="General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eparator>; </c:separator>
            <c:showLeaderLines val="1"/>
          </c:dLbls>
          <c:cat>
            <c:strRef>
              <c:f>'🏠 Dashboard'!$A$9:$A$12</c:f>
              <c:strCache>
                <c:ptCount val="4"/>
                <c:pt idx="0">
                  <c:v>Idea</c:v>
                </c:pt>
                <c:pt idx="1">
                  <c:v>Drafting</c:v>
                </c:pt>
                <c:pt idx="2">
                  <c:v>Internal Review</c:v>
                </c:pt>
                <c:pt idx="3">
                  <c:v>On Hold</c:v>
                </c:pt>
              </c:strCache>
            </c:strRef>
          </c:cat>
          <c:val>
            <c:numRef>
              <c:f>'🏠 Dashboard'!$B$9:$B$12</c:f>
              <c:numCache>
                <c:formatCode>General</c:formatCode>
                <c:ptCount val="4"/>
                <c:pt idx="0">
                  <c:v>0</c:v>
                </c:pt>
                <c:pt idx="1">
                  <c:v>4</c:v>
                </c:pt>
                <c:pt idx="2">
                  <c:v>6</c:v>
                </c:pt>
                <c:pt idx="3">
                  <c:v>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Latest Decision (submitted papers)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'🏠 Dashboard'!E8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'🏠 Dashboard'!$D$9:$D$13</c:f>
              <c:strCache>
                <c:ptCount val="5"/>
                <c:pt idx="0">
                  <c:v>Under Review</c:v>
                </c:pt>
                <c:pt idx="1">
                  <c:v>Revise &amp; Resubmit</c:v>
                </c:pt>
                <c:pt idx="2">
                  <c:v>Accepted</c:v>
                </c:pt>
                <c:pt idx="3">
                  <c:v>Rejected</c:v>
                </c:pt>
                <c:pt idx="4">
                  <c:v>Withdrawn</c:v>
                </c:pt>
              </c:strCache>
            </c:strRef>
          </c:cat>
          <c:val>
            <c:numRef>
              <c:f>'🏠 Dashboard'!$E$9:$E$13</c:f>
              <c:numCache>
                <c:formatCode>General</c:formatCode>
                <c:ptCount val="5"/>
                <c:pt idx="0">
                  <c:v>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gapWidth val="150"/>
        <c:overlap val="0"/>
        <c:axId val="31716826"/>
        <c:axId val="26951245"/>
      </c:barChart>
      <c:catAx>
        <c:axId val="3171682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6951245"/>
        <c:crosses val="autoZero"/>
        <c:auto val="1"/>
        <c:lblAlgn val="ctr"/>
        <c:lblOffset val="100"/>
        <c:noMultiLvlLbl val="0"/>
      </c:catAx>
      <c:valAx>
        <c:axId val="2695124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171682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Workload by Owner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'🏠 Dashboard'!H8</c:f>
              <c:strCache>
                <c:ptCount val="1"/>
                <c:pt idx="0">
                  <c:v>Papers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'🏠 Dashboard'!$G$9:$G$11</c:f>
              <c:strCache>
                <c:ptCount val="3"/>
                <c:pt idx="0">
                  <c:v>Mohammad Shahin</c:v>
                </c:pt>
                <c:pt idx="1">
                  <c:v>Nik</c:v>
                </c:pt>
                <c:pt idx="2">
                  <c:v>Ryohei</c:v>
                </c:pt>
              </c:strCache>
            </c:strRef>
          </c:cat>
          <c:val>
            <c:numRef>
              <c:f>'🏠 Dashboard'!$H$9:$H$11</c:f>
              <c:numCache>
                <c:formatCode>General</c:formatCode>
                <c:ptCount val="3"/>
                <c:pt idx="0">
                  <c:v>3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</c:ser>
        <c:gapWidth val="150"/>
        <c:overlap val="0"/>
        <c:axId val="97905353"/>
        <c:axId val="28375482"/>
      </c:barChart>
      <c:catAx>
        <c:axId val="9790535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8375482"/>
        <c:crosses val="autoZero"/>
        <c:auto val="1"/>
        <c:lblAlgn val="ctr"/>
        <c:lblOffset val="100"/>
        <c:noMultiLvlLbl val="0"/>
      </c:catAx>
      <c:valAx>
        <c:axId val="2837548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790535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11</xdr:row>
      <xdr:rowOff>43560</xdr:rowOff>
    </xdr:from>
    <xdr:to>
      <xdr:col>5</xdr:col>
      <xdr:colOff>617400</xdr:colOff>
      <xdr:row>26</xdr:row>
      <xdr:rowOff>65520</xdr:rowOff>
    </xdr:to>
    <xdr:graphicFrame>
      <xdr:nvGraphicFramePr>
        <xdr:cNvPr id="0" name="Chart 1"/>
        <xdr:cNvGraphicFramePr/>
      </xdr:nvGraphicFramePr>
      <xdr:xfrm>
        <a:off x="0" y="3267000"/>
        <a:ext cx="4322520" cy="287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0</xdr:colOff>
      <xdr:row>11</xdr:row>
      <xdr:rowOff>43560</xdr:rowOff>
    </xdr:from>
    <xdr:to>
      <xdr:col>8</xdr:col>
      <xdr:colOff>617040</xdr:colOff>
      <xdr:row>26</xdr:row>
      <xdr:rowOff>65520</xdr:rowOff>
    </xdr:to>
    <xdr:graphicFrame>
      <xdr:nvGraphicFramePr>
        <xdr:cNvPr id="1" name="Chart 2"/>
        <xdr:cNvGraphicFramePr/>
      </xdr:nvGraphicFramePr>
      <xdr:xfrm>
        <a:off x="2223000" y="3267000"/>
        <a:ext cx="4322520" cy="287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6</xdr:col>
      <xdr:colOff>0</xdr:colOff>
      <xdr:row>11</xdr:row>
      <xdr:rowOff>43560</xdr:rowOff>
    </xdr:from>
    <xdr:to>
      <xdr:col>11</xdr:col>
      <xdr:colOff>617040</xdr:colOff>
      <xdr:row>26</xdr:row>
      <xdr:rowOff>65520</xdr:rowOff>
    </xdr:to>
    <xdr:graphicFrame>
      <xdr:nvGraphicFramePr>
        <xdr:cNvPr id="2" name="Chart 3"/>
        <xdr:cNvGraphicFramePr/>
      </xdr:nvGraphicFramePr>
      <xdr:xfrm>
        <a:off x="4446360" y="3267000"/>
        <a:ext cx="4322160" cy="287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2" min="1" style="1" width="10.51"/>
  </cols>
  <sheetData>
    <row r="1" customFormat="false" ht="36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18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4" customFormat="false" ht="24" hidden="false" customHeight="true" outlineLevel="0" collapsed="false">
      <c r="A4" s="4" t="s">
        <v>2</v>
      </c>
      <c r="B4" s="4"/>
      <c r="C4" s="4" t="s">
        <v>3</v>
      </c>
      <c r="D4" s="4"/>
      <c r="E4" s="5" t="s">
        <v>4</v>
      </c>
      <c r="F4" s="5"/>
      <c r="G4" s="6" t="s">
        <v>5</v>
      </c>
      <c r="H4" s="6"/>
      <c r="I4" s="7" t="s">
        <v>6</v>
      </c>
      <c r="J4" s="7"/>
      <c r="K4" s="8" t="s">
        <v>7</v>
      </c>
      <c r="L4" s="8"/>
    </row>
    <row r="5" customFormat="false" ht="39.75" hidden="false" customHeight="true" outlineLevel="0" collapsed="false">
      <c r="A5" s="9" t="n">
        <f aca="false">COUNTA('📄 Papers Tracker'!B4:B33)</f>
        <v>30</v>
      </c>
      <c r="B5" s="9"/>
      <c r="C5" s="9" t="n">
        <f aca="false">COUNTIF('📄 Papers Tracker'!H4:H33,0)</f>
        <v>27</v>
      </c>
      <c r="D5" s="9"/>
      <c r="E5" s="10" t="n">
        <f aca="false">SUMPRODUCT(('📄 Papers Tracker'!H4:H33&gt;0)*('📄 Papers Tracker'!L4:L33&lt;&gt;"Accepted")*('📄 Papers Tracker'!L4:L33&lt;&gt;"Rejected"))</f>
        <v>3</v>
      </c>
      <c r="F5" s="10"/>
      <c r="G5" s="11" t="n">
        <f aca="false">COUNTIF('📄 Papers Tracker'!L4:L33,"Accepted")+SUMPRODUCT(('📄 Papers Tracker'!P4:P33&lt;&gt;"")*1)</f>
        <v>0</v>
      </c>
      <c r="H5" s="11"/>
      <c r="I5" s="12" t="n">
        <f aca="false">SUMPRODUCT((('📄 Papers Tracker'!K4:K33&lt;&gt;""))*(N('📄 Papers Tracker'!K4:K33)&lt;0))</f>
        <v>2</v>
      </c>
      <c r="J5" s="12"/>
      <c r="K5" s="13" t="n">
        <f aca="false">COUNTIF('📄 Papers Tracker'!D4:D33,"⚪ Needs Status")</f>
        <v>17</v>
      </c>
      <c r="L5" s="13"/>
    </row>
    <row r="7" customFormat="false" ht="15" hidden="false" customHeight="false" outlineLevel="0" collapsed="false">
      <c r="A7" s="14" t="s">
        <v>8</v>
      </c>
      <c r="D7" s="14" t="s">
        <v>9</v>
      </c>
      <c r="G7" s="14" t="s">
        <v>10</v>
      </c>
    </row>
    <row r="8" customFormat="false" ht="19.5" hidden="false" customHeight="true" outlineLevel="0" collapsed="false">
      <c r="A8" s="15" t="s">
        <v>11</v>
      </c>
      <c r="B8" s="15" t="s">
        <v>12</v>
      </c>
      <c r="D8" s="15" t="s">
        <v>13</v>
      </c>
      <c r="E8" s="15" t="s">
        <v>12</v>
      </c>
      <c r="G8" s="15" t="s">
        <v>14</v>
      </c>
      <c r="H8" s="15" t="s">
        <v>15</v>
      </c>
    </row>
    <row r="9" customFormat="false" ht="23.85" hidden="false" customHeight="false" outlineLevel="0" collapsed="false">
      <c r="A9" s="16" t="s">
        <v>16</v>
      </c>
      <c r="B9" s="17" t="n">
        <f aca="false">COUNTIFS('📄 Papers Tracker'!C4:C33,"Idea",'📄 Papers Tracker'!H4:H33,0)</f>
        <v>0</v>
      </c>
      <c r="D9" s="16" t="s">
        <v>17</v>
      </c>
      <c r="E9" s="17" t="n">
        <f aca="false">COUNTIF('📄 Papers Tracker'!L4:L33,"Under Review")</f>
        <v>3</v>
      </c>
      <c r="G9" s="16" t="s">
        <v>18</v>
      </c>
      <c r="H9" s="17" t="n">
        <f aca="false">COUNTIF('📄 Papers Tracker'!M4:M33,"Mohammad Shahin")</f>
        <v>3</v>
      </c>
    </row>
    <row r="10" customFormat="false" ht="23.85" hidden="false" customHeight="false" outlineLevel="0" collapsed="false">
      <c r="A10" s="16" t="s">
        <v>19</v>
      </c>
      <c r="B10" s="17" t="n">
        <f aca="false">COUNTIFS('📄 Papers Tracker'!C4:C33,"Drafting",'📄 Papers Tracker'!H4:H33,0)</f>
        <v>4</v>
      </c>
      <c r="D10" s="16" t="s">
        <v>20</v>
      </c>
      <c r="E10" s="17" t="n">
        <f aca="false">COUNTIF('📄 Papers Tracker'!L4:L33,"Revise &amp; Resubmit")</f>
        <v>0</v>
      </c>
      <c r="G10" s="16" t="s">
        <v>21</v>
      </c>
      <c r="H10" s="17" t="n">
        <f aca="false">COUNTIF('📄 Papers Tracker'!M4:M33,"Nik")</f>
        <v>1</v>
      </c>
    </row>
    <row r="11" customFormat="false" ht="23.85" hidden="false" customHeight="false" outlineLevel="0" collapsed="false">
      <c r="A11" s="16" t="s">
        <v>22</v>
      </c>
      <c r="B11" s="17" t="n">
        <f aca="false">COUNTIFS('📄 Papers Tracker'!C4:C33,"Internal Review",'📄 Papers Tracker'!H4:H33,0)</f>
        <v>6</v>
      </c>
      <c r="D11" s="16" t="s">
        <v>23</v>
      </c>
      <c r="E11" s="17" t="n">
        <f aca="false">COUNTIF('📄 Papers Tracker'!L4:L33,"Accepted")</f>
        <v>0</v>
      </c>
      <c r="G11" s="16" t="s">
        <v>24</v>
      </c>
      <c r="H11" s="17" t="n">
        <f aca="false">COUNTIF('📄 Papers Tracker'!M4:M33,"Ryohei")</f>
        <v>1</v>
      </c>
    </row>
    <row r="12" customFormat="false" ht="15" hidden="false" customHeight="false" outlineLevel="0" collapsed="false">
      <c r="A12" s="16" t="s">
        <v>25</v>
      </c>
      <c r="B12" s="17" t="n">
        <f aca="false">COUNTIFS('📄 Papers Tracker'!C4:C33,"On Hold",'📄 Papers Tracker'!H4:H33,0)</f>
        <v>0</v>
      </c>
      <c r="D12" s="16" t="s">
        <v>26</v>
      </c>
      <c r="E12" s="17" t="n">
        <f aca="false">COUNTIF('📄 Papers Tracker'!L4:L33,"Rejected")</f>
        <v>0</v>
      </c>
    </row>
    <row r="13" customFormat="false" ht="15" hidden="false" customHeight="false" outlineLevel="0" collapsed="false">
      <c r="D13" s="16" t="s">
        <v>27</v>
      </c>
      <c r="E13" s="17" t="n">
        <f aca="false">COUNTIF('📄 Papers Tracker'!L4:L33,"Withdrawn")</f>
        <v>0</v>
      </c>
    </row>
    <row r="32" customFormat="false" ht="15" hidden="false" customHeight="false" outlineLevel="0" collapsed="false">
      <c r="A32" s="14" t="s">
        <v>28</v>
      </c>
    </row>
    <row r="33" customFormat="false" ht="15" hidden="false" customHeight="false" outlineLevel="0" collapsed="false">
      <c r="A33" s="18" t="s">
        <v>29</v>
      </c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</row>
    <row r="34" customFormat="false" ht="15" hidden="false" customHeight="false" outlineLevel="0" collapsed="false">
      <c r="A34" s="18" t="s">
        <v>30</v>
      </c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</row>
    <row r="35" customFormat="false" ht="15" hidden="false" customHeight="false" outlineLevel="0" collapsed="false">
      <c r="A35" s="18" t="s">
        <v>31</v>
      </c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</row>
    <row r="36" customFormat="false" ht="15" hidden="false" customHeight="false" outlineLevel="0" collapsed="false">
      <c r="A36" s="18" t="s">
        <v>32</v>
      </c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</row>
  </sheetData>
  <mergeCells count="18">
    <mergeCell ref="A1:L1"/>
    <mergeCell ref="A2:L2"/>
    <mergeCell ref="A4:B4"/>
    <mergeCell ref="C4:D4"/>
    <mergeCell ref="E4:F4"/>
    <mergeCell ref="G4:H4"/>
    <mergeCell ref="I4:J4"/>
    <mergeCell ref="K4:L4"/>
    <mergeCell ref="A5:B5"/>
    <mergeCell ref="C5:D5"/>
    <mergeCell ref="E5:F5"/>
    <mergeCell ref="G5:H5"/>
    <mergeCell ref="I5:J5"/>
    <mergeCell ref="K5:L5"/>
    <mergeCell ref="A33:L33"/>
    <mergeCell ref="A34:L34"/>
    <mergeCell ref="A35:L35"/>
    <mergeCell ref="A36:L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1"/>
  <cols>
    <col collapsed="false" customWidth="true" hidden="false" outlineLevel="0" max="1" min="1" style="1" width="7"/>
    <col collapsed="false" customWidth="true" hidden="false" outlineLevel="0" max="2" min="2" style="1" width="40"/>
    <col collapsed="false" customWidth="true" hidden="false" outlineLevel="0" max="3" min="3" style="1" width="15"/>
    <col collapsed="false" customWidth="true" hidden="false" outlineLevel="0" max="4" min="4" style="1" width="17"/>
    <col collapsed="false" customWidth="true" hidden="false" outlineLevel="0" max="5" min="5" style="1" width="10"/>
    <col collapsed="false" customWidth="true" hidden="false" outlineLevel="0" max="6" min="6" style="1" width="16"/>
    <col collapsed="false" customWidth="true" hidden="false" outlineLevel="0" max="7" min="7" style="1" width="14"/>
    <col collapsed="false" customWidth="true" hidden="false" outlineLevel="0" max="8" min="8" style="1" width="9"/>
    <col collapsed="false" customWidth="true" hidden="false" outlineLevel="0" max="9" min="9" style="1" width="18"/>
    <col collapsed="false" customWidth="true" hidden="false" outlineLevel="0" max="10" min="10" style="1" width="13"/>
    <col collapsed="false" customWidth="true" hidden="false" outlineLevel="0" max="11" min="11" style="1" width="9"/>
    <col collapsed="false" customWidth="true" hidden="false" outlineLevel="0" max="12" min="12" style="1" width="16"/>
    <col collapsed="false" customWidth="true" hidden="false" outlineLevel="0" max="14" min="13" style="1" width="15"/>
    <col collapsed="false" customWidth="true" hidden="false" outlineLevel="0" max="15" min="15" style="1" width="18"/>
    <col collapsed="false" customWidth="true" hidden="false" outlineLevel="0" max="16" min="16" style="1" width="13"/>
    <col collapsed="false" customWidth="true" hidden="false" outlineLevel="0" max="17" min="17" style="1" width="10"/>
    <col collapsed="false" customWidth="true" hidden="false" outlineLevel="0" max="18" min="18" style="1" width="12"/>
    <col collapsed="false" customWidth="true" hidden="false" outlineLevel="1" max="19" min="19" style="1" width="14"/>
    <col collapsed="false" customWidth="true" hidden="false" outlineLevel="0" max="20" min="20" style="1" width="26"/>
  </cols>
  <sheetData>
    <row r="1" customFormat="false" ht="33.75" hidden="false" customHeight="true" outlineLevel="0" collapsed="false">
      <c r="A1" s="2" t="s">
        <v>33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customFormat="false" ht="18" hidden="false" customHeight="true" outlineLevel="0" collapsed="false">
      <c r="A2" s="3" t="s">
        <v>34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customFormat="false" ht="39.75" hidden="false" customHeight="true" outlineLevel="0" collapsed="false">
      <c r="A3" s="15" t="s">
        <v>35</v>
      </c>
      <c r="B3" s="15" t="s">
        <v>36</v>
      </c>
      <c r="C3" s="15" t="s">
        <v>11</v>
      </c>
      <c r="D3" s="15" t="s">
        <v>37</v>
      </c>
      <c r="E3" s="15" t="s">
        <v>38</v>
      </c>
      <c r="F3" s="15" t="s">
        <v>39</v>
      </c>
      <c r="G3" s="15" t="s">
        <v>40</v>
      </c>
      <c r="H3" s="15" t="s">
        <v>41</v>
      </c>
      <c r="I3" s="15" t="s">
        <v>42</v>
      </c>
      <c r="J3" s="15" t="s">
        <v>43</v>
      </c>
      <c r="K3" s="15" t="s">
        <v>44</v>
      </c>
      <c r="L3" s="15" t="s">
        <v>45</v>
      </c>
      <c r="M3" s="15" t="s">
        <v>14</v>
      </c>
      <c r="N3" s="15" t="s">
        <v>46</v>
      </c>
      <c r="O3" s="15" t="s">
        <v>47</v>
      </c>
      <c r="P3" s="15" t="s">
        <v>48</v>
      </c>
      <c r="Q3" s="15" t="s">
        <v>49</v>
      </c>
      <c r="R3" s="15" t="s">
        <v>50</v>
      </c>
      <c r="S3" s="15" t="s">
        <v>51</v>
      </c>
      <c r="T3" s="15" t="s">
        <v>52</v>
      </c>
    </row>
    <row r="4" customFormat="false" ht="37.5" hidden="false" customHeight="true" outlineLevel="0" collapsed="false">
      <c r="A4" s="19" t="s">
        <v>53</v>
      </c>
      <c r="B4" s="20" t="s">
        <v>54</v>
      </c>
      <c r="C4" s="21" t="s">
        <v>22</v>
      </c>
      <c r="D4" s="21" t="str">
        <f aca="false">IF(P4&lt;&gt;"","⚪ Published",IF(L4="Accepted","⚪ Completed",IF(L4="Rejected","🔴 Closed — resubmit?",IF(L4="Revise &amp; Resubmit","🟡 Needs Attention",IF(L4="Withdrawn","🟠 Waiting",IF(AND(K4&lt;&gt;"",K4&lt;0),"🔴 Overdue",IF(AND(K4&lt;&gt;"",K4&lt;=14,K4&gt;=0),"🟡 Needs Attention",IF(H4&gt;0,"🔵 Reviewing",IF(C4="On Hold","🟠 Waiting",IF(C4="Idea","🟠 Waiting",IF(C4="Drafting","🟢 On Track",IF(C4="Internal Review","🔵 Reviewing","⚪ Needs Status"))))))))))))</f>
        <v>🔵 Reviewing</v>
      </c>
      <c r="E4" s="21" t="s">
        <v>55</v>
      </c>
      <c r="F4" s="21" t="s">
        <v>56</v>
      </c>
      <c r="G4" s="22" t="n">
        <v>46280</v>
      </c>
      <c r="H4" s="21" t="n">
        <f aca="false">COUNTIF('📨 Submissions Log'!$A$4:$A$500,B4)</f>
        <v>0</v>
      </c>
      <c r="I4" s="21" t="str">
        <f aca="false">IF(H4=0,IF(F4="","",F4),IFERROR(INDEX('📨 Submissions Log'!$D$4:$D$500,MATCH(B4&amp;"|"&amp;H4,'📨 Submissions Log'!$C$4:$C$500,0)),""))</f>
        <v>npj</v>
      </c>
      <c r="J4" s="22" t="n">
        <f aca="false">IF(H4=0,IF(G4="","",G4),IF(N(IFERROR(INDEX('📨 Submissions Log'!$F$4:$F$500,MATCH(B4&amp;"|"&amp;H4,'📨 Submissions Log'!$C$4:$C$500,0)),0))=0,"",INDEX('📨 Submissions Log'!$F$4:$F$500,MATCH(B4&amp;"|"&amp;H4,'📨 Submissions Log'!$C$4:$C$500,0))))</f>
        <v>46280</v>
      </c>
      <c r="K4" s="21" t="n">
        <f aca="true">IF(J4="","",J4-TODAY())</f>
        <v>36</v>
      </c>
      <c r="L4" s="21" t="str">
        <f aca="false">IF(H4=0,"",IFERROR(INDEX('📨 Submissions Log'!$G$4:$G$500,MATCH(B4&amp;"|"&amp;H4,'📨 Submissions Log'!$C$4:$C$500,0)),""))</f>
        <v/>
      </c>
      <c r="M4" s="21" t="s">
        <v>18</v>
      </c>
      <c r="N4" s="21"/>
      <c r="O4" s="21"/>
      <c r="P4" s="21"/>
      <c r="Q4" s="21"/>
      <c r="R4" s="21"/>
      <c r="S4" s="21"/>
      <c r="T4" s="20" t="s">
        <v>57</v>
      </c>
    </row>
    <row r="5" customFormat="false" ht="37.5" hidden="false" customHeight="true" outlineLevel="0" collapsed="false">
      <c r="A5" s="17" t="s">
        <v>58</v>
      </c>
      <c r="B5" s="16" t="s">
        <v>59</v>
      </c>
      <c r="C5" s="23"/>
      <c r="D5" s="23" t="str">
        <f aca="false">IF(P5&lt;&gt;"","⚪ Published",IF(L5="Accepted","⚪ Completed",IF(L5="Rejected","🔴 Closed — resubmit?",IF(L5="Revise &amp; Resubmit","🟡 Needs Attention",IF(L5="Withdrawn","🟠 Waiting",IF(AND(K5&lt;&gt;"",K5&lt;0),"🔴 Overdue",IF(AND(K5&lt;&gt;"",K5&lt;=14,K5&gt;=0),"🟡 Needs Attention",IF(H5&gt;0,"🔵 Reviewing",IF(C5="On Hold","🟠 Waiting",IF(C5="Idea","🟠 Waiting",IF(C5="Drafting","🟢 On Track",IF(C5="Internal Review","🔵 Reviewing","⚪ Needs Status"))))))))))))</f>
        <v>⚪ Needs Status</v>
      </c>
      <c r="E5" s="23"/>
      <c r="F5" s="17"/>
      <c r="G5" s="17"/>
      <c r="H5" s="17" t="n">
        <f aca="false">COUNTIF('📨 Submissions Log'!$A$4:$A$500,B5)</f>
        <v>0</v>
      </c>
      <c r="I5" s="17" t="str">
        <f aca="false">IF(H5=0,IF(F5="","",F5),IFERROR(INDEX('📨 Submissions Log'!$D$4:$D$500,MATCH(B5&amp;"|"&amp;H5,'📨 Submissions Log'!$C$4:$C$500,0)),""))</f>
        <v/>
      </c>
      <c r="J5" s="24" t="str">
        <f aca="false">IF(H5=0,IF(G5="","",G5),IF(N(IFERROR(INDEX('📨 Submissions Log'!$F$4:$F$500,MATCH(B5&amp;"|"&amp;H5,'📨 Submissions Log'!$C$4:$C$500,0)),0))=0,"",INDEX('📨 Submissions Log'!$F$4:$F$500,MATCH(B5&amp;"|"&amp;H5,'📨 Submissions Log'!$C$4:$C$500,0))))</f>
        <v/>
      </c>
      <c r="K5" s="17" t="str">
        <f aca="true">IF(J5="","",J5-TODAY())</f>
        <v/>
      </c>
      <c r="L5" s="17" t="str">
        <f aca="false">IF(H5=0,"",IFERROR(INDEX('📨 Submissions Log'!$G$4:$G$500,MATCH(B5&amp;"|"&amp;H5,'📨 Submissions Log'!$C$4:$C$500,0)),""))</f>
        <v/>
      </c>
      <c r="M5" s="23"/>
      <c r="N5" s="17"/>
      <c r="O5" s="17"/>
      <c r="P5" s="17"/>
      <c r="Q5" s="23"/>
      <c r="R5" s="17"/>
      <c r="S5" s="17"/>
      <c r="T5" s="16"/>
    </row>
    <row r="6" customFormat="false" ht="51.75" hidden="false" customHeight="true" outlineLevel="0" collapsed="false">
      <c r="A6" s="21" t="s">
        <v>60</v>
      </c>
      <c r="B6" s="20" t="s">
        <v>61</v>
      </c>
      <c r="C6" s="21"/>
      <c r="D6" s="21" t="str">
        <f aca="false">IF(P6&lt;&gt;"","⚪ Published",IF(L6="Accepted","⚪ Completed",IF(L6="Rejected","🔴 Closed — resubmit?",IF(L6="Revise &amp; Resubmit","🟡 Needs Attention",IF(L6="Withdrawn","🟠 Waiting",IF(AND(K6&lt;&gt;"",K6&lt;0),"🔴 Overdue",IF(AND(K6&lt;&gt;"",K6&lt;=14,K6&gt;=0),"🟡 Needs Attention",IF(H6&gt;0,"🔵 Reviewing",IF(C6="On Hold","🟠 Waiting",IF(C6="Idea","🟠 Waiting",IF(C6="Drafting","🟢 On Track",IF(C6="Internal Review","🔵 Reviewing","⚪ Needs Status"))))))))))))</f>
        <v>⚪ Needs Status</v>
      </c>
      <c r="E6" s="21"/>
      <c r="F6" s="21"/>
      <c r="G6" s="21"/>
      <c r="H6" s="21" t="n">
        <f aca="false">COUNTIF('📨 Submissions Log'!$A$4:$A$500,B6)</f>
        <v>0</v>
      </c>
      <c r="I6" s="21" t="str">
        <f aca="false">IF(H6=0,IF(F6="","",F6),IFERROR(INDEX('📨 Submissions Log'!$D$4:$D$500,MATCH(B6&amp;"|"&amp;H6,'📨 Submissions Log'!$C$4:$C$500,0)),""))</f>
        <v/>
      </c>
      <c r="J6" s="22" t="str">
        <f aca="false">IF(H6=0,IF(G6="","",G6),IF(N(IFERROR(INDEX('📨 Submissions Log'!$F$4:$F$500,MATCH(B6&amp;"|"&amp;H6,'📨 Submissions Log'!$C$4:$C$500,0)),0))=0,"",INDEX('📨 Submissions Log'!$F$4:$F$500,MATCH(B6&amp;"|"&amp;H6,'📨 Submissions Log'!$C$4:$C$500,0))))</f>
        <v/>
      </c>
      <c r="K6" s="21" t="str">
        <f aca="true">IF(J6="","",J6-TODAY())</f>
        <v/>
      </c>
      <c r="L6" s="21" t="str">
        <f aca="false">IF(H6=0,"",IFERROR(INDEX('📨 Submissions Log'!$G$4:$G$500,MATCH(B6&amp;"|"&amp;H6,'📨 Submissions Log'!$C$4:$C$500,0)),""))</f>
        <v/>
      </c>
      <c r="M6" s="21" t="s">
        <v>21</v>
      </c>
      <c r="N6" s="21"/>
      <c r="O6" s="21"/>
      <c r="P6" s="21"/>
      <c r="Q6" s="21"/>
      <c r="R6" s="21"/>
      <c r="S6" s="21"/>
      <c r="T6" s="20"/>
    </row>
    <row r="7" customFormat="false" ht="27.75" hidden="false" customHeight="true" outlineLevel="0" collapsed="false">
      <c r="A7" s="17" t="s">
        <v>62</v>
      </c>
      <c r="B7" s="16" t="s">
        <v>63</v>
      </c>
      <c r="C7" s="23"/>
      <c r="D7" s="23" t="str">
        <f aca="false">IF(P7&lt;&gt;"","⚪ Published",IF(L7="Accepted","⚪ Completed",IF(L7="Rejected","🔴 Closed — resubmit?",IF(L7="Revise &amp; Resubmit","🟡 Needs Attention",IF(L7="Withdrawn","🟠 Waiting",IF(AND(K7&lt;&gt;"",K7&lt;0),"🔴 Overdue",IF(AND(K7&lt;&gt;"",K7&lt;=14,K7&gt;=0),"🟡 Needs Attention",IF(H7&gt;0,"🔵 Reviewing",IF(C7="On Hold","🟠 Waiting",IF(C7="Idea","🟠 Waiting",IF(C7="Drafting","🟢 On Track",IF(C7="Internal Review","🔵 Reviewing","⚪ Needs Status"))))))))))))</f>
        <v>🔵 Reviewing</v>
      </c>
      <c r="E7" s="23"/>
      <c r="F7" s="17" t="s">
        <v>64</v>
      </c>
      <c r="G7" s="17"/>
      <c r="H7" s="17" t="n">
        <f aca="false">COUNTIF('📨 Submissions Log'!$A$4:$A$500,B7)</f>
        <v>2</v>
      </c>
      <c r="I7" s="17" t="str">
        <f aca="false">IF(H7=0,IF(F7="","",F7),IFERROR(INDEX('📨 Submissions Log'!$D$4:$D$500,MATCH(B7&amp;"|"&amp;H7,'📨 Submissions Log'!$C$4:$C$500,0)),""))</f>
        <v>npj Digital Medicine</v>
      </c>
      <c r="J7" s="24" t="str">
        <f aca="false">IF(H7=0,IF(G7="","",G7),IF(N(IFERROR(INDEX('📨 Submissions Log'!$F$4:$F$500,MATCH(B7&amp;"|"&amp;H7,'📨 Submissions Log'!$C$4:$C$500,0)),0))=0,"",INDEX('📨 Submissions Log'!$F$4:$F$500,MATCH(B7&amp;"|"&amp;H7,'📨 Submissions Log'!$C$4:$C$500,0))))</f>
        <v/>
      </c>
      <c r="K7" s="17" t="str">
        <f aca="true">IF(J7="","",J7-TODAY())</f>
        <v/>
      </c>
      <c r="L7" s="17" t="str">
        <f aca="false">IF(H7=0,"",IFERROR(INDEX('📨 Submissions Log'!$G$4:$G$500,MATCH(B7&amp;"|"&amp;H7,'📨 Submissions Log'!$C$4:$C$500,0)),""))</f>
        <v>Under Review</v>
      </c>
      <c r="M7" s="23"/>
      <c r="N7" s="17"/>
      <c r="O7" s="17" t="s">
        <v>65</v>
      </c>
      <c r="P7" s="17"/>
      <c r="Q7" s="23"/>
      <c r="R7" s="17"/>
      <c r="S7" s="17"/>
      <c r="T7" s="16"/>
    </row>
    <row r="8" customFormat="false" ht="37.5" hidden="false" customHeight="true" outlineLevel="0" collapsed="false">
      <c r="A8" s="21" t="s">
        <v>66</v>
      </c>
      <c r="B8" s="20" t="s">
        <v>67</v>
      </c>
      <c r="C8" s="21"/>
      <c r="D8" s="21" t="str">
        <f aca="false">IF(P8&lt;&gt;"","⚪ Published",IF(L8="Accepted","⚪ Completed",IF(L8="Rejected","🔴 Closed — resubmit?",IF(L8="Revise &amp; Resubmit","🟡 Needs Attention",IF(L8="Withdrawn","🟠 Waiting",IF(AND(K8&lt;&gt;"",K8&lt;0),"🔴 Overdue",IF(AND(K8&lt;&gt;"",K8&lt;=14,K8&gt;=0),"🟡 Needs Attention",IF(H8&gt;0,"🔵 Reviewing",IF(C8="On Hold","🟠 Waiting",IF(C8="Idea","🟠 Waiting",IF(C8="Drafting","🟢 On Track",IF(C8="Internal Review","🔵 Reviewing","⚪ Needs Status"))))))))))))</f>
        <v>⚪ Needs Status</v>
      </c>
      <c r="E8" s="21"/>
      <c r="F8" s="21"/>
      <c r="G8" s="21"/>
      <c r="H8" s="21" t="n">
        <f aca="false">COUNTIF('📨 Submissions Log'!$A$4:$A$500,B8)</f>
        <v>0</v>
      </c>
      <c r="I8" s="21" t="str">
        <f aca="false">IF(H8=0,IF(F8="","",F8),IFERROR(INDEX('📨 Submissions Log'!$D$4:$D$500,MATCH(B8&amp;"|"&amp;H8,'📨 Submissions Log'!$C$4:$C$500,0)),""))</f>
        <v/>
      </c>
      <c r="J8" s="22" t="str">
        <f aca="false">IF(H8=0,IF(G8="","",G8),IF(N(IFERROR(INDEX('📨 Submissions Log'!$F$4:$F$500,MATCH(B8&amp;"|"&amp;H8,'📨 Submissions Log'!$C$4:$C$500,0)),0))=0,"",INDEX('📨 Submissions Log'!$F$4:$F$500,MATCH(B8&amp;"|"&amp;H8,'📨 Submissions Log'!$C$4:$C$500,0))))</f>
        <v/>
      </c>
      <c r="K8" s="21" t="str">
        <f aca="true">IF(J8="","",J8-TODAY())</f>
        <v/>
      </c>
      <c r="L8" s="21" t="str">
        <f aca="false">IF(H8=0,"",IFERROR(INDEX('📨 Submissions Log'!$G$4:$G$500,MATCH(B8&amp;"|"&amp;H8,'📨 Submissions Log'!$C$4:$C$500,0)),""))</f>
        <v/>
      </c>
      <c r="M8" s="21"/>
      <c r="N8" s="21"/>
      <c r="O8" s="21" t="s">
        <v>68</v>
      </c>
      <c r="P8" s="21"/>
      <c r="Q8" s="21"/>
      <c r="R8" s="21"/>
      <c r="S8" s="21"/>
      <c r="T8" s="20"/>
    </row>
    <row r="9" customFormat="false" ht="37.5" hidden="false" customHeight="true" outlineLevel="0" collapsed="false">
      <c r="A9" s="17" t="s">
        <v>69</v>
      </c>
      <c r="B9" s="16" t="s">
        <v>70</v>
      </c>
      <c r="C9" s="23"/>
      <c r="D9" s="23" t="str">
        <f aca="false">IF(P9&lt;&gt;"","⚪ Published",IF(L9="Accepted","⚪ Completed",IF(L9="Rejected","🔴 Closed — resubmit?",IF(L9="Revise &amp; Resubmit","🟡 Needs Attention",IF(L9="Withdrawn","🟠 Waiting",IF(AND(K9&lt;&gt;"",K9&lt;0),"🔴 Overdue",IF(AND(K9&lt;&gt;"",K9&lt;=14,K9&gt;=0),"🟡 Needs Attention",IF(H9&gt;0,"🔵 Reviewing",IF(C9="On Hold","🟠 Waiting",IF(C9="Idea","🟠 Waiting",IF(C9="Drafting","🟢 On Track",IF(C9="Internal Review","🔵 Reviewing","⚪ Needs Status"))))))))))))</f>
        <v>🔵 Reviewing</v>
      </c>
      <c r="E9" s="23"/>
      <c r="F9" s="17"/>
      <c r="G9" s="17"/>
      <c r="H9" s="17" t="n">
        <f aca="false">COUNTIF('📨 Submissions Log'!$A$4:$A$500,B9)</f>
        <v>1</v>
      </c>
      <c r="I9" s="17" t="str">
        <f aca="false">IF(H9=0,IF(F9="","",F9),IFERROR(INDEX('📨 Submissions Log'!$D$4:$D$500,MATCH(B9&amp;"|"&amp;H9,'📨 Submissions Log'!$C$4:$C$500,0)),""))</f>
        <v>PLOS Global Public Health</v>
      </c>
      <c r="J9" s="24" t="str">
        <f aca="false">IF(H9=0,IF(G9="","",G9),IF(N(IFERROR(INDEX('📨 Submissions Log'!$F$4:$F$500,MATCH(B9&amp;"|"&amp;H9,'📨 Submissions Log'!$C$4:$C$500,0)),0))=0,"",INDEX('📨 Submissions Log'!$F$4:$F$500,MATCH(B9&amp;"|"&amp;H9,'📨 Submissions Log'!$C$4:$C$500,0))))</f>
        <v/>
      </c>
      <c r="K9" s="17" t="str">
        <f aca="true">IF(J9="","",J9-TODAY())</f>
        <v/>
      </c>
      <c r="L9" s="17" t="str">
        <f aca="false">IF(H9=0,"",IFERROR(INDEX('📨 Submissions Log'!$G$4:$G$500,MATCH(B9&amp;"|"&amp;H9,'📨 Submissions Log'!$C$4:$C$500,0)),""))</f>
        <v>Under Review</v>
      </c>
      <c r="M9" s="23"/>
      <c r="N9" s="17"/>
      <c r="O9" s="17" t="s">
        <v>71</v>
      </c>
      <c r="P9" s="17"/>
      <c r="Q9" s="23"/>
      <c r="R9" s="17"/>
      <c r="S9" s="17"/>
      <c r="T9" s="16"/>
    </row>
    <row r="10" customFormat="false" ht="27.75" hidden="false" customHeight="true" outlineLevel="0" collapsed="false">
      <c r="A10" s="21" t="s">
        <v>72</v>
      </c>
      <c r="B10" s="20" t="s">
        <v>73</v>
      </c>
      <c r="C10" s="21"/>
      <c r="D10" s="21" t="str">
        <f aca="false">IF(P10&lt;&gt;"","⚪ Published",IF(L10="Accepted","⚪ Completed",IF(L10="Rejected","🔴 Closed — resubmit?",IF(L10="Revise &amp; Resubmit","🟡 Needs Attention",IF(L10="Withdrawn","🟠 Waiting",IF(AND(K10&lt;&gt;"",K10&lt;0),"🔴 Overdue",IF(AND(K10&lt;&gt;"",K10&lt;=14,K10&gt;=0),"🟡 Needs Attention",IF(H10&gt;0,"🔵 Reviewing",IF(C10="On Hold","🟠 Waiting",IF(C10="Idea","🟠 Waiting",IF(C10="Drafting","🟢 On Track",IF(C10="Internal Review","🔵 Reviewing","⚪ Needs Status"))))))))))))</f>
        <v>⚪ Needs Status</v>
      </c>
      <c r="E10" s="21"/>
      <c r="F10" s="21"/>
      <c r="G10" s="21"/>
      <c r="H10" s="21" t="n">
        <f aca="false">COUNTIF('📨 Submissions Log'!$A$4:$A$500,B10)</f>
        <v>0</v>
      </c>
      <c r="I10" s="21" t="str">
        <f aca="false">IF(H10=0,IF(F10="","",F10),IFERROR(INDEX('📨 Submissions Log'!$D$4:$D$500,MATCH(B10&amp;"|"&amp;H10,'📨 Submissions Log'!$C$4:$C$500,0)),""))</f>
        <v/>
      </c>
      <c r="J10" s="22" t="str">
        <f aca="false">IF(H10=0,IF(G10="","",G10),IF(N(IFERROR(INDEX('📨 Submissions Log'!$F$4:$F$500,MATCH(B10&amp;"|"&amp;H10,'📨 Submissions Log'!$C$4:$C$500,0)),0))=0,"",INDEX('📨 Submissions Log'!$F$4:$F$500,MATCH(B10&amp;"|"&amp;H10,'📨 Submissions Log'!$C$4:$C$500,0))))</f>
        <v/>
      </c>
      <c r="K10" s="21" t="str">
        <f aca="true">IF(J10="","",J10-TODAY())</f>
        <v/>
      </c>
      <c r="L10" s="21" t="str">
        <f aca="false">IF(H10=0,"",IFERROR(INDEX('📨 Submissions Log'!$G$4:$G$500,MATCH(B10&amp;"|"&amp;H10,'📨 Submissions Log'!$C$4:$C$500,0)),""))</f>
        <v/>
      </c>
      <c r="M10" s="21"/>
      <c r="N10" s="21"/>
      <c r="O10" s="21"/>
      <c r="P10" s="21"/>
      <c r="Q10" s="21"/>
      <c r="R10" s="21"/>
      <c r="S10" s="21"/>
      <c r="T10" s="20"/>
    </row>
    <row r="11" customFormat="false" ht="27.75" hidden="false" customHeight="true" outlineLevel="0" collapsed="false">
      <c r="A11" s="17" t="s">
        <v>74</v>
      </c>
      <c r="B11" s="16" t="s">
        <v>75</v>
      </c>
      <c r="C11" s="23"/>
      <c r="D11" s="23" t="str">
        <f aca="false">IF(P11&lt;&gt;"","⚪ Published",IF(L11="Accepted","⚪ Completed",IF(L11="Rejected","🔴 Closed — resubmit?",IF(L11="Revise &amp; Resubmit","🟡 Needs Attention",IF(L11="Withdrawn","🟠 Waiting",IF(AND(K11&lt;&gt;"",K11&lt;0),"🔴 Overdue",IF(AND(K11&lt;&gt;"",K11&lt;=14,K11&gt;=0),"🟡 Needs Attention",IF(H11&gt;0,"🔵 Reviewing",IF(C11="On Hold","🟠 Waiting",IF(C11="Idea","🟠 Waiting",IF(C11="Drafting","🟢 On Track",IF(C11="Internal Review","🔵 Reviewing","⚪ Needs Status"))))))))))))</f>
        <v>⚪ Needs Status</v>
      </c>
      <c r="E11" s="23"/>
      <c r="F11" s="17"/>
      <c r="G11" s="17"/>
      <c r="H11" s="17" t="n">
        <f aca="false">COUNTIF('📨 Submissions Log'!$A$4:$A$500,B11)</f>
        <v>0</v>
      </c>
      <c r="I11" s="17" t="str">
        <f aca="false">IF(H11=0,IF(F11="","",F11),IFERROR(INDEX('📨 Submissions Log'!$D$4:$D$500,MATCH(B11&amp;"|"&amp;H11,'📨 Submissions Log'!$C$4:$C$500,0)),""))</f>
        <v/>
      </c>
      <c r="J11" s="24" t="str">
        <f aca="false">IF(H11=0,IF(G11="","",G11),IF(N(IFERROR(INDEX('📨 Submissions Log'!$F$4:$F$500,MATCH(B11&amp;"|"&amp;H11,'📨 Submissions Log'!$C$4:$C$500,0)),0))=0,"",INDEX('📨 Submissions Log'!$F$4:$F$500,MATCH(B11&amp;"|"&amp;H11,'📨 Submissions Log'!$C$4:$C$500,0))))</f>
        <v/>
      </c>
      <c r="K11" s="17" t="str">
        <f aca="true">IF(J11="","",J11-TODAY())</f>
        <v/>
      </c>
      <c r="L11" s="17" t="str">
        <f aca="false">IF(H11=0,"",IFERROR(INDEX('📨 Submissions Log'!$G$4:$G$500,MATCH(B11&amp;"|"&amp;H11,'📨 Submissions Log'!$C$4:$C$500,0)),""))</f>
        <v/>
      </c>
      <c r="M11" s="23"/>
      <c r="N11" s="17"/>
      <c r="O11" s="17"/>
      <c r="P11" s="17"/>
      <c r="Q11" s="23"/>
      <c r="R11" s="17"/>
      <c r="S11" s="17"/>
      <c r="T11" s="16"/>
    </row>
    <row r="12" customFormat="false" ht="27.75" hidden="false" customHeight="true" outlineLevel="0" collapsed="false">
      <c r="A12" s="21" t="s">
        <v>76</v>
      </c>
      <c r="B12" s="20" t="s">
        <v>77</v>
      </c>
      <c r="C12" s="21"/>
      <c r="D12" s="21" t="str">
        <f aca="false">IF(P12&lt;&gt;"","⚪ Published",IF(L12="Accepted","⚪ Completed",IF(L12="Rejected","🔴 Closed — resubmit?",IF(L12="Revise &amp; Resubmit","🟡 Needs Attention",IF(L12="Withdrawn","🟠 Waiting",IF(AND(K12&lt;&gt;"",K12&lt;0),"🔴 Overdue",IF(AND(K12&lt;&gt;"",K12&lt;=14,K12&gt;=0),"🟡 Needs Attention",IF(H12&gt;0,"🔵 Reviewing",IF(C12="On Hold","🟠 Waiting",IF(C12="Idea","🟠 Waiting",IF(C12="Drafting","🟢 On Track",IF(C12="Internal Review","🔵 Reviewing","⚪ Needs Status"))))))))))))</f>
        <v>⚪ Needs Status</v>
      </c>
      <c r="E12" s="21"/>
      <c r="F12" s="21"/>
      <c r="G12" s="21"/>
      <c r="H12" s="21" t="n">
        <f aca="false">COUNTIF('📨 Submissions Log'!$A$4:$A$500,B12)</f>
        <v>0</v>
      </c>
      <c r="I12" s="21" t="str">
        <f aca="false">IF(H12=0,IF(F12="","",F12),IFERROR(INDEX('📨 Submissions Log'!$D$4:$D$500,MATCH(B12&amp;"|"&amp;H12,'📨 Submissions Log'!$C$4:$C$500,0)),""))</f>
        <v/>
      </c>
      <c r="J12" s="22" t="str">
        <f aca="false">IF(H12=0,IF(G12="","",G12),IF(N(IFERROR(INDEX('📨 Submissions Log'!$F$4:$F$500,MATCH(B12&amp;"|"&amp;H12,'📨 Submissions Log'!$C$4:$C$500,0)),0))=0,"",INDEX('📨 Submissions Log'!$F$4:$F$500,MATCH(B12&amp;"|"&amp;H12,'📨 Submissions Log'!$C$4:$C$500,0))))</f>
        <v/>
      </c>
      <c r="K12" s="21" t="str">
        <f aca="true">IF(J12="","",J12-TODAY())</f>
        <v/>
      </c>
      <c r="L12" s="21" t="str">
        <f aca="false">IF(H12=0,"",IFERROR(INDEX('📨 Submissions Log'!$G$4:$G$500,MATCH(B12&amp;"|"&amp;H12,'📨 Submissions Log'!$C$4:$C$500,0)),""))</f>
        <v/>
      </c>
      <c r="M12" s="21"/>
      <c r="N12" s="21"/>
      <c r="O12" s="21" t="s">
        <v>78</v>
      </c>
      <c r="P12" s="21"/>
      <c r="Q12" s="21"/>
      <c r="R12" s="21"/>
      <c r="S12" s="21"/>
      <c r="T12" s="20"/>
    </row>
    <row r="13" customFormat="false" ht="27.75" hidden="false" customHeight="true" outlineLevel="0" collapsed="false">
      <c r="A13" s="17" t="s">
        <v>79</v>
      </c>
      <c r="B13" s="16" t="s">
        <v>80</v>
      </c>
      <c r="C13" s="23"/>
      <c r="D13" s="23" t="str">
        <f aca="false">IF(P13&lt;&gt;"","⚪ Published",IF(L13="Accepted","⚪ Completed",IF(L13="Rejected","🔴 Closed — resubmit?",IF(L13="Revise &amp; Resubmit","🟡 Needs Attention",IF(L13="Withdrawn","🟠 Waiting",IF(AND(K13&lt;&gt;"",K13&lt;0),"🔴 Overdue",IF(AND(K13&lt;&gt;"",K13&lt;=14,K13&gt;=0),"🟡 Needs Attention",IF(H13&gt;0,"🔵 Reviewing",IF(C13="On Hold","🟠 Waiting",IF(C13="Idea","🟠 Waiting",IF(C13="Drafting","🟢 On Track",IF(C13="Internal Review","🔵 Reviewing","⚪ Needs Status"))))))))))))</f>
        <v>⚪ Needs Status</v>
      </c>
      <c r="E13" s="23"/>
      <c r="F13" s="17"/>
      <c r="G13" s="17"/>
      <c r="H13" s="17" t="n">
        <f aca="false">COUNTIF('📨 Submissions Log'!$A$4:$A$500,B13)</f>
        <v>0</v>
      </c>
      <c r="I13" s="17" t="str">
        <f aca="false">IF(H13=0,IF(F13="","",F13),IFERROR(INDEX('📨 Submissions Log'!$D$4:$D$500,MATCH(B13&amp;"|"&amp;H13,'📨 Submissions Log'!$C$4:$C$500,0)),""))</f>
        <v/>
      </c>
      <c r="J13" s="24" t="str">
        <f aca="false">IF(H13=0,IF(G13="","",G13),IF(N(IFERROR(INDEX('📨 Submissions Log'!$F$4:$F$500,MATCH(B13&amp;"|"&amp;H13,'📨 Submissions Log'!$C$4:$C$500,0)),0))=0,"",INDEX('📨 Submissions Log'!$F$4:$F$500,MATCH(B13&amp;"|"&amp;H13,'📨 Submissions Log'!$C$4:$C$500,0))))</f>
        <v/>
      </c>
      <c r="K13" s="17" t="str">
        <f aca="true">IF(J13="","",J13-TODAY())</f>
        <v/>
      </c>
      <c r="L13" s="17" t="str">
        <f aca="false">IF(H13=0,"",IFERROR(INDEX('📨 Submissions Log'!$G$4:$G$500,MATCH(B13&amp;"|"&amp;H13,'📨 Submissions Log'!$C$4:$C$500,0)),""))</f>
        <v/>
      </c>
      <c r="M13" s="23"/>
      <c r="N13" s="17"/>
      <c r="O13" s="17"/>
      <c r="P13" s="17"/>
      <c r="Q13" s="23"/>
      <c r="R13" s="17"/>
      <c r="S13" s="17"/>
      <c r="T13" s="16"/>
    </row>
    <row r="14" customFormat="false" ht="27.75" hidden="false" customHeight="true" outlineLevel="0" collapsed="false">
      <c r="A14" s="21" t="s">
        <v>81</v>
      </c>
      <c r="B14" s="20" t="s">
        <v>82</v>
      </c>
      <c r="C14" s="21"/>
      <c r="D14" s="21" t="str">
        <f aca="false">IF(P14&lt;&gt;"","⚪ Published",IF(L14="Accepted","⚪ Completed",IF(L14="Rejected","🔴 Closed — resubmit?",IF(L14="Revise &amp; Resubmit","🟡 Needs Attention",IF(L14="Withdrawn","🟠 Waiting",IF(AND(K14&lt;&gt;"",K14&lt;0),"🔴 Overdue",IF(AND(K14&lt;&gt;"",K14&lt;=14,K14&gt;=0),"🟡 Needs Attention",IF(H14&gt;0,"🔵 Reviewing",IF(C14="On Hold","🟠 Waiting",IF(C14="Idea","🟠 Waiting",IF(C14="Drafting","🟢 On Track",IF(C14="Internal Review","🔵 Reviewing","⚪ Needs Status"))))))))))))</f>
        <v>⚪ Needs Status</v>
      </c>
      <c r="E14" s="21"/>
      <c r="F14" s="21"/>
      <c r="G14" s="21"/>
      <c r="H14" s="21" t="n">
        <f aca="false">COUNTIF('📨 Submissions Log'!$A$4:$A$500,B14)</f>
        <v>0</v>
      </c>
      <c r="I14" s="21" t="str">
        <f aca="false">IF(H14=0,IF(F14="","",F14),IFERROR(INDEX('📨 Submissions Log'!$D$4:$D$500,MATCH(B14&amp;"|"&amp;H14,'📨 Submissions Log'!$C$4:$C$500,0)),""))</f>
        <v/>
      </c>
      <c r="J14" s="22" t="str">
        <f aca="false">IF(H14=0,IF(G14="","",G14),IF(N(IFERROR(INDEX('📨 Submissions Log'!$F$4:$F$500,MATCH(B14&amp;"|"&amp;H14,'📨 Submissions Log'!$C$4:$C$500,0)),0))=0,"",INDEX('📨 Submissions Log'!$F$4:$F$500,MATCH(B14&amp;"|"&amp;H14,'📨 Submissions Log'!$C$4:$C$500,0))))</f>
        <v/>
      </c>
      <c r="K14" s="21" t="str">
        <f aca="true">IF(J14="","",J14-TODAY())</f>
        <v/>
      </c>
      <c r="L14" s="21" t="str">
        <f aca="false">IF(H14=0,"",IFERROR(INDEX('📨 Submissions Log'!$G$4:$G$500,MATCH(B14&amp;"|"&amp;H14,'📨 Submissions Log'!$C$4:$C$500,0)),""))</f>
        <v/>
      </c>
      <c r="M14" s="21"/>
      <c r="N14" s="21"/>
      <c r="O14" s="21"/>
      <c r="P14" s="21"/>
      <c r="Q14" s="21"/>
      <c r="R14" s="21"/>
      <c r="S14" s="21"/>
      <c r="T14" s="20"/>
    </row>
    <row r="15" customFormat="false" ht="27.75" hidden="false" customHeight="true" outlineLevel="0" collapsed="false">
      <c r="A15" s="17" t="s">
        <v>83</v>
      </c>
      <c r="B15" s="16" t="s">
        <v>84</v>
      </c>
      <c r="C15" s="23"/>
      <c r="D15" s="23" t="str">
        <f aca="false">IF(P15&lt;&gt;"","⚪ Published",IF(L15="Accepted","⚪ Completed",IF(L15="Rejected","🔴 Closed — resubmit?",IF(L15="Revise &amp; Resubmit","🟡 Needs Attention",IF(L15="Withdrawn","🟠 Waiting",IF(AND(K15&lt;&gt;"",K15&lt;0),"🔴 Overdue",IF(AND(K15&lt;&gt;"",K15&lt;=14,K15&gt;=0),"🟡 Needs Attention",IF(H15&gt;0,"🔵 Reviewing",IF(C15="On Hold","🟠 Waiting",IF(C15="Idea","🟠 Waiting",IF(C15="Drafting","🟢 On Track",IF(C15="Internal Review","🔵 Reviewing","⚪ Needs Status"))))))))))))</f>
        <v>⚪ Needs Status</v>
      </c>
      <c r="E15" s="23"/>
      <c r="F15" s="17"/>
      <c r="G15" s="17"/>
      <c r="H15" s="17" t="n">
        <f aca="false">COUNTIF('📨 Submissions Log'!$A$4:$A$500,B15)</f>
        <v>0</v>
      </c>
      <c r="I15" s="17" t="str">
        <f aca="false">IF(H15=0,IF(F15="","",F15),IFERROR(INDEX('📨 Submissions Log'!$D$4:$D$500,MATCH(B15&amp;"|"&amp;H15,'📨 Submissions Log'!$C$4:$C$500,0)),""))</f>
        <v/>
      </c>
      <c r="J15" s="24" t="str">
        <f aca="false">IF(H15=0,IF(G15="","",G15),IF(N(IFERROR(INDEX('📨 Submissions Log'!$F$4:$F$500,MATCH(B15&amp;"|"&amp;H15,'📨 Submissions Log'!$C$4:$C$500,0)),0))=0,"",INDEX('📨 Submissions Log'!$F$4:$F$500,MATCH(B15&amp;"|"&amp;H15,'📨 Submissions Log'!$C$4:$C$500,0))))</f>
        <v/>
      </c>
      <c r="K15" s="17" t="str">
        <f aca="true">IF(J15="","",J15-TODAY())</f>
        <v/>
      </c>
      <c r="L15" s="17" t="str">
        <f aca="false">IF(H15=0,"",IFERROR(INDEX('📨 Submissions Log'!$G$4:$G$500,MATCH(B15&amp;"|"&amp;H15,'📨 Submissions Log'!$C$4:$C$500,0)),""))</f>
        <v/>
      </c>
      <c r="M15" s="23"/>
      <c r="N15" s="17"/>
      <c r="O15" s="17"/>
      <c r="P15" s="17"/>
      <c r="Q15" s="23"/>
      <c r="R15" s="17"/>
      <c r="S15" s="17"/>
      <c r="T15" s="16"/>
    </row>
    <row r="16" customFormat="false" ht="27.75" hidden="false" customHeight="true" outlineLevel="0" collapsed="false">
      <c r="A16" s="21" t="s">
        <v>85</v>
      </c>
      <c r="B16" s="20" t="s">
        <v>86</v>
      </c>
      <c r="C16" s="21"/>
      <c r="D16" s="21" t="str">
        <f aca="false">IF(P16&lt;&gt;"","⚪ Published",IF(L16="Accepted","⚪ Completed",IF(L16="Rejected","🔴 Closed — resubmit?",IF(L16="Revise &amp; Resubmit","🟡 Needs Attention",IF(L16="Withdrawn","🟠 Waiting",IF(AND(K16&lt;&gt;"",K16&lt;0),"🔴 Overdue",IF(AND(K16&lt;&gt;"",K16&lt;=14,K16&gt;=0),"🟡 Needs Attention",IF(H16&gt;0,"🔵 Reviewing",IF(C16="On Hold","🟠 Waiting",IF(C16="Idea","🟠 Waiting",IF(C16="Drafting","🟢 On Track",IF(C16="Internal Review","🔵 Reviewing","⚪ Needs Status"))))))))))))</f>
        <v>⚪ Needs Status</v>
      </c>
      <c r="E16" s="21"/>
      <c r="F16" s="21"/>
      <c r="G16" s="21"/>
      <c r="H16" s="21" t="n">
        <f aca="false">COUNTIF('📨 Submissions Log'!$A$4:$A$500,B16)</f>
        <v>0</v>
      </c>
      <c r="I16" s="21" t="str">
        <f aca="false">IF(H16=0,IF(F16="","",F16),IFERROR(INDEX('📨 Submissions Log'!$D$4:$D$500,MATCH(B16&amp;"|"&amp;H16,'📨 Submissions Log'!$C$4:$C$500,0)),""))</f>
        <v/>
      </c>
      <c r="J16" s="22" t="str">
        <f aca="false">IF(H16=0,IF(G16="","",G16),IF(N(IFERROR(INDEX('📨 Submissions Log'!$F$4:$F$500,MATCH(B16&amp;"|"&amp;H16,'📨 Submissions Log'!$C$4:$C$500,0)),0))=0,"",INDEX('📨 Submissions Log'!$F$4:$F$500,MATCH(B16&amp;"|"&amp;H16,'📨 Submissions Log'!$C$4:$C$500,0))))</f>
        <v/>
      </c>
      <c r="K16" s="21" t="str">
        <f aca="true">IF(J16="","",J16-TODAY())</f>
        <v/>
      </c>
      <c r="L16" s="21" t="str">
        <f aca="false">IF(H16=0,"",IFERROR(INDEX('📨 Submissions Log'!$G$4:$G$500,MATCH(B16&amp;"|"&amp;H16,'📨 Submissions Log'!$C$4:$C$500,0)),""))</f>
        <v/>
      </c>
      <c r="M16" s="21"/>
      <c r="N16" s="21"/>
      <c r="O16" s="21"/>
      <c r="P16" s="21"/>
      <c r="Q16" s="21"/>
      <c r="R16" s="21"/>
      <c r="S16" s="21"/>
      <c r="T16" s="20"/>
    </row>
    <row r="17" customFormat="false" ht="37.5" hidden="false" customHeight="true" outlineLevel="0" collapsed="false">
      <c r="A17" s="17" t="s">
        <v>87</v>
      </c>
      <c r="B17" s="16" t="s">
        <v>88</v>
      </c>
      <c r="C17" s="23"/>
      <c r="D17" s="23" t="str">
        <f aca="false">IF(P17&lt;&gt;"","⚪ Published",IF(L17="Accepted","⚪ Completed",IF(L17="Rejected","🔴 Closed — resubmit?",IF(L17="Revise &amp; Resubmit","🟡 Needs Attention",IF(L17="Withdrawn","🟠 Waiting",IF(AND(K17&lt;&gt;"",K17&lt;0),"🔴 Overdue",IF(AND(K17&lt;&gt;"",K17&lt;=14,K17&gt;=0),"🟡 Needs Attention",IF(H17&gt;0,"🔵 Reviewing",IF(C17="On Hold","🟠 Waiting",IF(C17="Idea","🟠 Waiting",IF(C17="Drafting","🟢 On Track",IF(C17="Internal Review","🔵 Reviewing","⚪ Needs Status"))))))))))))</f>
        <v>⚪ Needs Status</v>
      </c>
      <c r="E17" s="23"/>
      <c r="F17" s="17" t="s">
        <v>89</v>
      </c>
      <c r="G17" s="17"/>
      <c r="H17" s="17" t="n">
        <f aca="false">COUNTIF('📨 Submissions Log'!$A$4:$A$500,B17)</f>
        <v>0</v>
      </c>
      <c r="I17" s="17" t="str">
        <f aca="false">IF(H17=0,IF(F17="","",F17),IFERROR(INDEX('📨 Submissions Log'!$D$4:$D$500,MATCH(B17&amp;"|"&amp;H17,'📨 Submissions Log'!$C$4:$C$500,0)),""))</f>
        <v>Science or Nature</v>
      </c>
      <c r="J17" s="24" t="str">
        <f aca="false">IF(H17=0,IF(G17="","",G17),IF(N(IFERROR(INDEX('📨 Submissions Log'!$F$4:$F$500,MATCH(B17&amp;"|"&amp;H17,'📨 Submissions Log'!$C$4:$C$500,0)),0))=0,"",INDEX('📨 Submissions Log'!$F$4:$F$500,MATCH(B17&amp;"|"&amp;H17,'📨 Submissions Log'!$C$4:$C$500,0))))</f>
        <v/>
      </c>
      <c r="K17" s="17" t="str">
        <f aca="true">IF(J17="","",J17-TODAY())</f>
        <v/>
      </c>
      <c r="L17" s="17" t="str">
        <f aca="false">IF(H17=0,"",IFERROR(INDEX('📨 Submissions Log'!$G$4:$G$500,MATCH(B17&amp;"|"&amp;H17,'📨 Submissions Log'!$C$4:$C$500,0)),""))</f>
        <v/>
      </c>
      <c r="M17" s="23"/>
      <c r="N17" s="17"/>
      <c r="O17" s="17" t="s">
        <v>90</v>
      </c>
      <c r="P17" s="17"/>
      <c r="Q17" s="23"/>
      <c r="R17" s="17"/>
      <c r="S17" s="17"/>
      <c r="T17" s="16"/>
    </row>
    <row r="18" customFormat="false" ht="37.5" hidden="false" customHeight="true" outlineLevel="0" collapsed="false">
      <c r="A18" s="21" t="s">
        <v>91</v>
      </c>
      <c r="B18" s="20" t="s">
        <v>92</v>
      </c>
      <c r="C18" s="21"/>
      <c r="D18" s="21" t="str">
        <f aca="false">IF(P18&lt;&gt;"","⚪ Published",IF(L18="Accepted","⚪ Completed",IF(L18="Rejected","🔴 Closed — resubmit?",IF(L18="Revise &amp; Resubmit","🟡 Needs Attention",IF(L18="Withdrawn","🟠 Waiting",IF(AND(K18&lt;&gt;"",K18&lt;0),"🔴 Overdue",IF(AND(K18&lt;&gt;"",K18&lt;=14,K18&gt;=0),"🟡 Needs Attention",IF(H18&gt;0,"🔵 Reviewing",IF(C18="On Hold","🟠 Waiting",IF(C18="Idea","🟠 Waiting",IF(C18="Drafting","🟢 On Track",IF(C18="Internal Review","🔵 Reviewing","⚪ Needs Status"))))))))))))</f>
        <v>⚪ Needs Status</v>
      </c>
      <c r="E18" s="21"/>
      <c r="F18" s="21"/>
      <c r="G18" s="21"/>
      <c r="H18" s="21" t="n">
        <f aca="false">COUNTIF('📨 Submissions Log'!$A$4:$A$500,B18)</f>
        <v>0</v>
      </c>
      <c r="I18" s="21" t="str">
        <f aca="false">IF(H18=0,IF(F18="","",F18),IFERROR(INDEX('📨 Submissions Log'!$D$4:$D$500,MATCH(B18&amp;"|"&amp;H18,'📨 Submissions Log'!$C$4:$C$500,0)),""))</f>
        <v/>
      </c>
      <c r="J18" s="22" t="str">
        <f aca="false">IF(H18=0,IF(G18="","",G18),IF(N(IFERROR(INDEX('📨 Submissions Log'!$F$4:$F$500,MATCH(B18&amp;"|"&amp;H18,'📨 Submissions Log'!$C$4:$C$500,0)),0))=0,"",INDEX('📨 Submissions Log'!$F$4:$F$500,MATCH(B18&amp;"|"&amp;H18,'📨 Submissions Log'!$C$4:$C$500,0))))</f>
        <v/>
      </c>
      <c r="K18" s="21" t="str">
        <f aca="true">IF(J18="","",J18-TODAY())</f>
        <v/>
      </c>
      <c r="L18" s="21" t="str">
        <f aca="false">IF(H18=0,"",IFERROR(INDEX('📨 Submissions Log'!$G$4:$G$500,MATCH(B18&amp;"|"&amp;H18,'📨 Submissions Log'!$C$4:$C$500,0)),""))</f>
        <v/>
      </c>
      <c r="M18" s="21"/>
      <c r="N18" s="21"/>
      <c r="O18" s="21" t="s">
        <v>93</v>
      </c>
      <c r="P18" s="21"/>
      <c r="Q18" s="21"/>
      <c r="R18" s="21"/>
      <c r="S18" s="21"/>
      <c r="T18" s="20"/>
    </row>
    <row r="19" customFormat="false" ht="37.5" hidden="false" customHeight="true" outlineLevel="0" collapsed="false">
      <c r="A19" s="17" t="s">
        <v>94</v>
      </c>
      <c r="B19" s="16" t="s">
        <v>95</v>
      </c>
      <c r="C19" s="23"/>
      <c r="D19" s="23" t="str">
        <f aca="false">IF(P19&lt;&gt;"","⚪ Published",IF(L19="Accepted","⚪ Completed",IF(L19="Rejected","🔴 Closed — resubmit?",IF(L19="Revise &amp; Resubmit","🟡 Needs Attention",IF(L19="Withdrawn","🟠 Waiting",IF(AND(K19&lt;&gt;"",K19&lt;0),"🔴 Overdue",IF(AND(K19&lt;&gt;"",K19&lt;=14,K19&gt;=0),"🟡 Needs Attention",IF(H19&gt;0,"🔵 Reviewing",IF(C19="On Hold","🟠 Waiting",IF(C19="Idea","🟠 Waiting",IF(C19="Drafting","🟢 On Track",IF(C19="Internal Review","🔵 Reviewing","⚪ Needs Status"))))))))))))</f>
        <v>⚪ Needs Status</v>
      </c>
      <c r="E19" s="23"/>
      <c r="F19" s="17"/>
      <c r="G19" s="17"/>
      <c r="H19" s="17" t="n">
        <f aca="false">COUNTIF('📨 Submissions Log'!$A$4:$A$500,B19)</f>
        <v>0</v>
      </c>
      <c r="I19" s="17" t="str">
        <f aca="false">IF(H19=0,IF(F19="","",F19),IFERROR(INDEX('📨 Submissions Log'!$D$4:$D$500,MATCH(B19&amp;"|"&amp;H19,'📨 Submissions Log'!$C$4:$C$500,0)),""))</f>
        <v/>
      </c>
      <c r="J19" s="24" t="str">
        <f aca="false">IF(H19=0,IF(G19="","",G19),IF(N(IFERROR(INDEX('📨 Submissions Log'!$F$4:$F$500,MATCH(B19&amp;"|"&amp;H19,'📨 Submissions Log'!$C$4:$C$500,0)),0))=0,"",INDEX('📨 Submissions Log'!$F$4:$F$500,MATCH(B19&amp;"|"&amp;H19,'📨 Submissions Log'!$C$4:$C$500,0))))</f>
        <v/>
      </c>
      <c r="K19" s="17" t="str">
        <f aca="true">IF(J19="","",J19-TODAY())</f>
        <v/>
      </c>
      <c r="L19" s="17" t="str">
        <f aca="false">IF(H19=0,"",IFERROR(INDEX('📨 Submissions Log'!$G$4:$G$500,MATCH(B19&amp;"|"&amp;H19,'📨 Submissions Log'!$C$4:$C$500,0)),""))</f>
        <v/>
      </c>
      <c r="M19" s="23"/>
      <c r="N19" s="17"/>
      <c r="O19" s="17" t="s">
        <v>96</v>
      </c>
      <c r="P19" s="17"/>
      <c r="Q19" s="23"/>
      <c r="R19" s="17"/>
      <c r="S19" s="17"/>
      <c r="T19" s="16"/>
    </row>
    <row r="20" customFormat="false" ht="37.5" hidden="false" customHeight="true" outlineLevel="0" collapsed="false">
      <c r="A20" s="21" t="s">
        <v>97</v>
      </c>
      <c r="B20" s="20" t="s">
        <v>98</v>
      </c>
      <c r="C20" s="21"/>
      <c r="D20" s="21" t="str">
        <f aca="false">IF(P20&lt;&gt;"","⚪ Published",IF(L20="Accepted","⚪ Completed",IF(L20="Rejected","🔴 Closed — resubmit?",IF(L20="Revise &amp; Resubmit","🟡 Needs Attention",IF(L20="Withdrawn","🟠 Waiting",IF(AND(K20&lt;&gt;"",K20&lt;0),"🔴 Overdue",IF(AND(K20&lt;&gt;"",K20&lt;=14,K20&gt;=0),"🟡 Needs Attention",IF(H20&gt;0,"🔵 Reviewing",IF(C20="On Hold","🟠 Waiting",IF(C20="Idea","🟠 Waiting",IF(C20="Drafting","🟢 On Track",IF(C20="Internal Review","🔵 Reviewing","⚪ Needs Status"))))))))))))</f>
        <v>⚪ Needs Status</v>
      </c>
      <c r="E20" s="21"/>
      <c r="F20" s="21"/>
      <c r="G20" s="21"/>
      <c r="H20" s="21" t="n">
        <f aca="false">COUNTIF('📨 Submissions Log'!$A$4:$A$500,B20)</f>
        <v>0</v>
      </c>
      <c r="I20" s="21" t="str">
        <f aca="false">IF(H20=0,IF(F20="","",F20),IFERROR(INDEX('📨 Submissions Log'!$D$4:$D$500,MATCH(B20&amp;"|"&amp;H20,'📨 Submissions Log'!$C$4:$C$500,0)),""))</f>
        <v/>
      </c>
      <c r="J20" s="22" t="str">
        <f aca="false">IF(H20=0,IF(G20="","",G20),IF(N(IFERROR(INDEX('📨 Submissions Log'!$F$4:$F$500,MATCH(B20&amp;"|"&amp;H20,'📨 Submissions Log'!$C$4:$C$500,0)),0))=0,"",INDEX('📨 Submissions Log'!$F$4:$F$500,MATCH(B20&amp;"|"&amp;H20,'📨 Submissions Log'!$C$4:$C$500,0))))</f>
        <v/>
      </c>
      <c r="K20" s="21" t="str">
        <f aca="true">IF(J20="","",J20-TODAY())</f>
        <v/>
      </c>
      <c r="L20" s="21" t="str">
        <f aca="false">IF(H20=0,"",IFERROR(INDEX('📨 Submissions Log'!$G$4:$G$500,MATCH(B20&amp;"|"&amp;H20,'📨 Submissions Log'!$C$4:$C$500,0)),""))</f>
        <v/>
      </c>
      <c r="M20" s="21"/>
      <c r="N20" s="21"/>
      <c r="O20" s="21"/>
      <c r="P20" s="21"/>
      <c r="Q20" s="21"/>
      <c r="R20" s="21"/>
      <c r="S20" s="21"/>
      <c r="T20" s="20"/>
    </row>
    <row r="21" customFormat="false" ht="27.75" hidden="false" customHeight="true" outlineLevel="0" collapsed="false">
      <c r="A21" s="17" t="s">
        <v>99</v>
      </c>
      <c r="B21" s="16" t="s">
        <v>100</v>
      </c>
      <c r="C21" s="23"/>
      <c r="D21" s="23" t="str">
        <f aca="false">IF(P21&lt;&gt;"","⚪ Published",IF(L21="Accepted","⚪ Completed",IF(L21="Rejected","🔴 Closed — resubmit?",IF(L21="Revise &amp; Resubmit","🟡 Needs Attention",IF(L21="Withdrawn","🟠 Waiting",IF(AND(K21&lt;&gt;"",K21&lt;0),"🔴 Overdue",IF(AND(K21&lt;&gt;"",K21&lt;=14,K21&gt;=0),"🟡 Needs Attention",IF(H21&gt;0,"🔵 Reviewing",IF(C21="On Hold","🟠 Waiting",IF(C21="Idea","🟠 Waiting",IF(C21="Drafting","🟢 On Track",IF(C21="Internal Review","🔵 Reviewing","⚪ Needs Status"))))))))))))</f>
        <v>⚪ Needs Status</v>
      </c>
      <c r="E21" s="23"/>
      <c r="F21" s="17"/>
      <c r="G21" s="17"/>
      <c r="H21" s="17" t="n">
        <f aca="false">COUNTIF('📨 Submissions Log'!$A$4:$A$500,B21)</f>
        <v>0</v>
      </c>
      <c r="I21" s="17" t="str">
        <f aca="false">IF(H21=0,IF(F21="","",F21),IFERROR(INDEX('📨 Submissions Log'!$D$4:$D$500,MATCH(B21&amp;"|"&amp;H21,'📨 Submissions Log'!$C$4:$C$500,0)),""))</f>
        <v/>
      </c>
      <c r="J21" s="24" t="str">
        <f aca="false">IF(H21=0,IF(G21="","",G21),IF(N(IFERROR(INDEX('📨 Submissions Log'!$F$4:$F$500,MATCH(B21&amp;"|"&amp;H21,'📨 Submissions Log'!$C$4:$C$500,0)),0))=0,"",INDEX('📨 Submissions Log'!$F$4:$F$500,MATCH(B21&amp;"|"&amp;H21,'📨 Submissions Log'!$C$4:$C$500,0))))</f>
        <v/>
      </c>
      <c r="K21" s="17" t="str">
        <f aca="true">IF(J21="","",J21-TODAY())</f>
        <v/>
      </c>
      <c r="L21" s="17" t="str">
        <f aca="false">IF(H21=0,"",IFERROR(INDEX('📨 Submissions Log'!$G$4:$G$500,MATCH(B21&amp;"|"&amp;H21,'📨 Submissions Log'!$C$4:$C$500,0)),""))</f>
        <v/>
      </c>
      <c r="M21" s="23"/>
      <c r="N21" s="17"/>
      <c r="O21" s="17"/>
      <c r="P21" s="17"/>
      <c r="Q21" s="23"/>
      <c r="R21" s="17"/>
      <c r="S21" s="17"/>
      <c r="T21" s="16"/>
    </row>
    <row r="22" customFormat="false" ht="27.75" hidden="false" customHeight="true" outlineLevel="0" collapsed="false">
      <c r="A22" s="21" t="s">
        <v>101</v>
      </c>
      <c r="B22" s="20" t="s">
        <v>102</v>
      </c>
      <c r="C22" s="21"/>
      <c r="D22" s="21" t="str">
        <f aca="false">IF(P22&lt;&gt;"","⚪ Published",IF(L22="Accepted","⚪ Completed",IF(L22="Rejected","🔴 Closed — resubmit?",IF(L22="Revise &amp; Resubmit","🟡 Needs Attention",IF(L22="Withdrawn","🟠 Waiting",IF(AND(K22&lt;&gt;"",K22&lt;0),"🔴 Overdue",IF(AND(K22&lt;&gt;"",K22&lt;=14,K22&gt;=0),"🟡 Needs Attention",IF(H22&gt;0,"🔵 Reviewing",IF(C22="On Hold","🟠 Waiting",IF(C22="Idea","🟠 Waiting",IF(C22="Drafting","🟢 On Track",IF(C22="Internal Review","🔵 Reviewing","⚪ Needs Status"))))))))))))</f>
        <v>⚪ Needs Status</v>
      </c>
      <c r="E22" s="21"/>
      <c r="F22" s="21"/>
      <c r="G22" s="21"/>
      <c r="H22" s="21" t="n">
        <f aca="false">COUNTIF('📨 Submissions Log'!$A$4:$A$500,B22)</f>
        <v>0</v>
      </c>
      <c r="I22" s="21" t="str">
        <f aca="false">IF(H22=0,IF(F22="","",F22),IFERROR(INDEX('📨 Submissions Log'!$D$4:$D$500,MATCH(B22&amp;"|"&amp;H22,'📨 Submissions Log'!$C$4:$C$500,0)),""))</f>
        <v/>
      </c>
      <c r="J22" s="22" t="str">
        <f aca="false">IF(H22=0,IF(G22="","",G22),IF(N(IFERROR(INDEX('📨 Submissions Log'!$F$4:$F$500,MATCH(B22&amp;"|"&amp;H22,'📨 Submissions Log'!$C$4:$C$500,0)),0))=0,"",INDEX('📨 Submissions Log'!$F$4:$F$500,MATCH(B22&amp;"|"&amp;H22,'📨 Submissions Log'!$C$4:$C$500,0))))</f>
        <v/>
      </c>
      <c r="K22" s="21" t="str">
        <f aca="true">IF(J22="","",J22-TODAY())</f>
        <v/>
      </c>
      <c r="L22" s="21" t="str">
        <f aca="false">IF(H22=0,"",IFERROR(INDEX('📨 Submissions Log'!$G$4:$G$500,MATCH(B22&amp;"|"&amp;H22,'📨 Submissions Log'!$C$4:$C$500,0)),""))</f>
        <v/>
      </c>
      <c r="M22" s="21"/>
      <c r="N22" s="21"/>
      <c r="O22" s="21"/>
      <c r="P22" s="21"/>
      <c r="Q22" s="21"/>
      <c r="R22" s="21"/>
      <c r="S22" s="21"/>
      <c r="T22" s="20"/>
    </row>
    <row r="23" customFormat="false" ht="27.75" hidden="false" customHeight="true" outlineLevel="0" collapsed="false">
      <c r="A23" s="17" t="s">
        <v>103</v>
      </c>
      <c r="B23" s="16" t="s">
        <v>104</v>
      </c>
      <c r="C23" s="23"/>
      <c r="D23" s="23" t="str">
        <f aca="false">IF(P23&lt;&gt;"","⚪ Published",IF(L23="Accepted","⚪ Completed",IF(L23="Rejected","🔴 Closed — resubmit?",IF(L23="Revise &amp; Resubmit","🟡 Needs Attention",IF(L23="Withdrawn","🟠 Waiting",IF(AND(K23&lt;&gt;"",K23&lt;0),"🔴 Overdue",IF(AND(K23&lt;&gt;"",K23&lt;=14,K23&gt;=0),"🟡 Needs Attention",IF(H23&gt;0,"🔵 Reviewing",IF(C23="On Hold","🟠 Waiting",IF(C23="Idea","🟠 Waiting",IF(C23="Drafting","🟢 On Track",IF(C23="Internal Review","🔵 Reviewing","⚪ Needs Status"))))))))))))</f>
        <v>⚪ Needs Status</v>
      </c>
      <c r="E23" s="23"/>
      <c r="F23" s="17"/>
      <c r="G23" s="17"/>
      <c r="H23" s="17" t="n">
        <f aca="false">COUNTIF('📨 Submissions Log'!$A$4:$A$500,B23)</f>
        <v>0</v>
      </c>
      <c r="I23" s="17" t="str">
        <f aca="false">IF(H23=0,IF(F23="","",F23),IFERROR(INDEX('📨 Submissions Log'!$D$4:$D$500,MATCH(B23&amp;"|"&amp;H23,'📨 Submissions Log'!$C$4:$C$500,0)),""))</f>
        <v/>
      </c>
      <c r="J23" s="24" t="str">
        <f aca="false">IF(H23=0,IF(G23="","",G23),IF(N(IFERROR(INDEX('📨 Submissions Log'!$F$4:$F$500,MATCH(B23&amp;"|"&amp;H23,'📨 Submissions Log'!$C$4:$C$500,0)),0))=0,"",INDEX('📨 Submissions Log'!$F$4:$F$500,MATCH(B23&amp;"|"&amp;H23,'📨 Submissions Log'!$C$4:$C$500,0))))</f>
        <v/>
      </c>
      <c r="K23" s="17" t="str">
        <f aca="true">IF(J23="","",J23-TODAY())</f>
        <v/>
      </c>
      <c r="L23" s="17" t="str">
        <f aca="false">IF(H23=0,"",IFERROR(INDEX('📨 Submissions Log'!$G$4:$G$500,MATCH(B23&amp;"|"&amp;H23,'📨 Submissions Log'!$C$4:$C$500,0)),""))</f>
        <v/>
      </c>
      <c r="M23" s="23"/>
      <c r="N23" s="17"/>
      <c r="O23" s="17"/>
      <c r="P23" s="17"/>
      <c r="Q23" s="23"/>
      <c r="R23" s="17"/>
      <c r="S23" s="17"/>
      <c r="T23" s="16"/>
    </row>
    <row r="24" customFormat="false" ht="37.5" hidden="false" customHeight="true" outlineLevel="0" collapsed="false">
      <c r="A24" s="21" t="s">
        <v>105</v>
      </c>
      <c r="B24" s="20" t="s">
        <v>106</v>
      </c>
      <c r="C24" s="21" t="s">
        <v>19</v>
      </c>
      <c r="D24" s="21" t="str">
        <f aca="false">IF(P24&lt;&gt;"","⚪ Published",IF(L24="Accepted","⚪ Completed",IF(L24="Rejected","🔴 Closed — resubmit?",IF(L24="Revise &amp; Resubmit","🟡 Needs Attention",IF(L24="Withdrawn","🟠 Waiting",IF(AND(K24&lt;&gt;"",K24&lt;0),"🔴 Overdue",IF(AND(K24&lt;&gt;"",K24&lt;=14,K24&gt;=0),"🟡 Needs Attention",IF(H24&gt;0,"🔵 Reviewing",IF(C24="On Hold","🟠 Waiting",IF(C24="Idea","🟠 Waiting",IF(C24="Drafting","🟢 On Track",IF(C24="Internal Review","🔵 Reviewing","⚪ Needs Status"))))))))))))</f>
        <v>🟢 On Track</v>
      </c>
      <c r="E24" s="21"/>
      <c r="F24" s="21" t="s">
        <v>107</v>
      </c>
      <c r="G24" s="21"/>
      <c r="H24" s="21" t="n">
        <f aca="false">COUNTIF('📨 Submissions Log'!$A$4:$A$500,B24)</f>
        <v>0</v>
      </c>
      <c r="I24" s="21" t="str">
        <f aca="false">IF(H24=0,IF(F24="","",F24),IFERROR(INDEX('📨 Submissions Log'!$D$4:$D$500,MATCH(B24&amp;"|"&amp;H24,'📨 Submissions Log'!$C$4:$C$500,0)),""))</f>
        <v>Nature Machine Intelligence</v>
      </c>
      <c r="J24" s="22" t="str">
        <f aca="false">IF(H24=0,IF(G24="","",G24),IF(N(IFERROR(INDEX('📨 Submissions Log'!$F$4:$F$500,MATCH(B24&amp;"|"&amp;H24,'📨 Submissions Log'!$C$4:$C$500,0)),0))=0,"",INDEX('📨 Submissions Log'!$F$4:$F$500,MATCH(B24&amp;"|"&amp;H24,'📨 Submissions Log'!$C$4:$C$500,0))))</f>
        <v/>
      </c>
      <c r="K24" s="21" t="str">
        <f aca="true">IF(J24="","",J24-TODAY())</f>
        <v/>
      </c>
      <c r="L24" s="21" t="str">
        <f aca="false">IF(H24=0,"",IFERROR(INDEX('📨 Submissions Log'!$G$4:$G$500,MATCH(B24&amp;"|"&amp;H24,'📨 Submissions Log'!$C$4:$C$500,0)),""))</f>
        <v/>
      </c>
      <c r="M24" s="21"/>
      <c r="N24" s="21"/>
      <c r="O24" s="21"/>
      <c r="P24" s="21"/>
      <c r="Q24" s="21"/>
      <c r="R24" s="21"/>
      <c r="S24" s="21"/>
      <c r="T24" s="20"/>
    </row>
    <row r="25" customFormat="false" ht="37.5" hidden="false" customHeight="true" outlineLevel="0" collapsed="false">
      <c r="A25" s="17" t="s">
        <v>108</v>
      </c>
      <c r="B25" s="16" t="s">
        <v>109</v>
      </c>
      <c r="C25" s="23" t="s">
        <v>22</v>
      </c>
      <c r="D25" s="23" t="str">
        <f aca="false">IF(P25&lt;&gt;"","⚪ Published",IF(L25="Accepted","⚪ Completed",IF(L25="Rejected","🔴 Closed — resubmit?",IF(L25="Revise &amp; Resubmit","🟡 Needs Attention",IF(L25="Withdrawn","🟠 Waiting",IF(AND(K25&lt;&gt;"",K25&lt;0),"🔴 Overdue",IF(AND(K25&lt;&gt;"",K25&lt;=14,K25&gt;=0),"🟡 Needs Attention",IF(H25&gt;0,"🔵 Reviewing",IF(C25="On Hold","🟠 Waiting",IF(C25="Idea","🟠 Waiting",IF(C25="Drafting","🟢 On Track",IF(C25="Internal Review","🔵 Reviewing","⚪ Needs Status"))))))))))))</f>
        <v>🔵 Reviewing</v>
      </c>
      <c r="E25" s="23"/>
      <c r="F25" s="17"/>
      <c r="G25" s="17"/>
      <c r="H25" s="17" t="n">
        <f aca="false">COUNTIF('📨 Submissions Log'!$A$4:$A$500,B25)</f>
        <v>0</v>
      </c>
      <c r="I25" s="17" t="str">
        <f aca="false">IF(H25=0,IF(F25="","",F25),IFERROR(INDEX('📨 Submissions Log'!$D$4:$D$500,MATCH(B25&amp;"|"&amp;H25,'📨 Submissions Log'!$C$4:$C$500,0)),""))</f>
        <v/>
      </c>
      <c r="J25" s="24" t="str">
        <f aca="false">IF(H25=0,IF(G25="","",G25),IF(N(IFERROR(INDEX('📨 Submissions Log'!$F$4:$F$500,MATCH(B25&amp;"|"&amp;H25,'📨 Submissions Log'!$C$4:$C$500,0)),0))=0,"",INDEX('📨 Submissions Log'!$F$4:$F$500,MATCH(B25&amp;"|"&amp;H25,'📨 Submissions Log'!$C$4:$C$500,0))))</f>
        <v/>
      </c>
      <c r="K25" s="17" t="str">
        <f aca="true">IF(J25="","",J25-TODAY())</f>
        <v/>
      </c>
      <c r="L25" s="17" t="str">
        <f aca="false">IF(H25=0,"",IFERROR(INDEX('📨 Submissions Log'!$G$4:$G$500,MATCH(B25&amp;"|"&amp;H25,'📨 Submissions Log'!$C$4:$C$500,0)),""))</f>
        <v/>
      </c>
      <c r="M25" s="23"/>
      <c r="N25" s="17"/>
      <c r="O25" s="17"/>
      <c r="P25" s="17"/>
      <c r="Q25" s="23"/>
      <c r="R25" s="17"/>
      <c r="S25" s="17"/>
      <c r="T25" s="16"/>
    </row>
    <row r="26" customFormat="false" ht="27.75" hidden="false" customHeight="true" outlineLevel="0" collapsed="false">
      <c r="A26" s="21" t="s">
        <v>110</v>
      </c>
      <c r="B26" s="20" t="s">
        <v>111</v>
      </c>
      <c r="C26" s="21" t="s">
        <v>19</v>
      </c>
      <c r="D26" s="21" t="str">
        <f aca="false">IF(P26&lt;&gt;"","⚪ Published",IF(L26="Accepted","⚪ Completed",IF(L26="Rejected","🔴 Closed — resubmit?",IF(L26="Revise &amp; Resubmit","🟡 Needs Attention",IF(L26="Withdrawn","🟠 Waiting",IF(AND(K26&lt;&gt;"",K26&lt;0),"🔴 Overdue",IF(AND(K26&lt;&gt;"",K26&lt;=14,K26&gt;=0),"🟡 Needs Attention",IF(H26&gt;0,"🔵 Reviewing",IF(C26="On Hold","🟠 Waiting",IF(C26="Idea","🟠 Waiting",IF(C26="Drafting","🟢 On Track",IF(C26="Internal Review","🔵 Reviewing","⚪ Needs Status"))))))))))))</f>
        <v>🟢 On Track</v>
      </c>
      <c r="E26" s="21"/>
      <c r="F26" s="21"/>
      <c r="G26" s="21"/>
      <c r="H26" s="21" t="n">
        <f aca="false">COUNTIF('📨 Submissions Log'!$A$4:$A$500,B26)</f>
        <v>0</v>
      </c>
      <c r="I26" s="21" t="str">
        <f aca="false">IF(H26=0,IF(F26="","",F26),IFERROR(INDEX('📨 Submissions Log'!$D$4:$D$500,MATCH(B26&amp;"|"&amp;H26,'📨 Submissions Log'!$C$4:$C$500,0)),""))</f>
        <v/>
      </c>
      <c r="J26" s="22" t="str">
        <f aca="false">IF(H26=0,IF(G26="","",G26),IF(N(IFERROR(INDEX('📨 Submissions Log'!$F$4:$F$500,MATCH(B26&amp;"|"&amp;H26,'📨 Submissions Log'!$C$4:$C$500,0)),0))=0,"",INDEX('📨 Submissions Log'!$F$4:$F$500,MATCH(B26&amp;"|"&amp;H26,'📨 Submissions Log'!$C$4:$C$500,0))))</f>
        <v/>
      </c>
      <c r="K26" s="21" t="str">
        <f aca="true">IF(J26="","",J26-TODAY())</f>
        <v/>
      </c>
      <c r="L26" s="21" t="str">
        <f aca="false">IF(H26=0,"",IFERROR(INDEX('📨 Submissions Log'!$G$4:$G$500,MATCH(B26&amp;"|"&amp;H26,'📨 Submissions Log'!$C$4:$C$500,0)),""))</f>
        <v/>
      </c>
      <c r="M26" s="21"/>
      <c r="N26" s="21"/>
      <c r="O26" s="21"/>
      <c r="P26" s="21"/>
      <c r="Q26" s="21"/>
      <c r="R26" s="21"/>
      <c r="S26" s="21"/>
      <c r="T26" s="20"/>
    </row>
    <row r="27" customFormat="false" ht="37.5" hidden="false" customHeight="true" outlineLevel="0" collapsed="false">
      <c r="A27" s="17" t="s">
        <v>112</v>
      </c>
      <c r="B27" s="16" t="s">
        <v>113</v>
      </c>
      <c r="C27" s="23" t="s">
        <v>22</v>
      </c>
      <c r="D27" s="23" t="str">
        <f aca="false">IF(P27&lt;&gt;"","⚪ Published",IF(L27="Accepted","⚪ Completed",IF(L27="Rejected","🔴 Closed — resubmit?",IF(L27="Revise &amp; Resubmit","🟡 Needs Attention",IF(L27="Withdrawn","🟠 Waiting",IF(AND(K27&lt;&gt;"",K27&lt;0),"🔴 Overdue",IF(AND(K27&lt;&gt;"",K27&lt;=14,K27&gt;=0),"🟡 Needs Attention",IF(H27&gt;0,"🔵 Reviewing",IF(C27="On Hold","🟠 Waiting",IF(C27="Idea","🟠 Waiting",IF(C27="Drafting","🟢 On Track",IF(C27="Internal Review","🔵 Reviewing","⚪ Needs Status"))))))))))))</f>
        <v>🔵 Reviewing</v>
      </c>
      <c r="E27" s="23"/>
      <c r="F27" s="17"/>
      <c r="G27" s="17"/>
      <c r="H27" s="17" t="n">
        <f aca="false">COUNTIF('📨 Submissions Log'!$A$4:$A$500,B27)</f>
        <v>0</v>
      </c>
      <c r="I27" s="17" t="str">
        <f aca="false">IF(H27=0,IF(F27="","",F27),IFERROR(INDEX('📨 Submissions Log'!$D$4:$D$500,MATCH(B27&amp;"|"&amp;H27,'📨 Submissions Log'!$C$4:$C$500,0)),""))</f>
        <v/>
      </c>
      <c r="J27" s="24" t="str">
        <f aca="false">IF(H27=0,IF(G27="","",G27),IF(N(IFERROR(INDEX('📨 Submissions Log'!$F$4:$F$500,MATCH(B27&amp;"|"&amp;H27,'📨 Submissions Log'!$C$4:$C$500,0)),0))=0,"",INDEX('📨 Submissions Log'!$F$4:$F$500,MATCH(B27&amp;"|"&amp;H27,'📨 Submissions Log'!$C$4:$C$500,0))))</f>
        <v/>
      </c>
      <c r="K27" s="17" t="str">
        <f aca="true">IF(J27="","",J27-TODAY())</f>
        <v/>
      </c>
      <c r="L27" s="17" t="str">
        <f aca="false">IF(H27=0,"",IFERROR(INDEX('📨 Submissions Log'!$G$4:$G$500,MATCH(B27&amp;"|"&amp;H27,'📨 Submissions Log'!$C$4:$C$500,0)),""))</f>
        <v/>
      </c>
      <c r="M27" s="23"/>
      <c r="N27" s="17"/>
      <c r="O27" s="17" t="s">
        <v>114</v>
      </c>
      <c r="P27" s="17"/>
      <c r="Q27" s="23"/>
      <c r="R27" s="17"/>
      <c r="S27" s="17"/>
      <c r="T27" s="16"/>
    </row>
    <row r="28" customFormat="false" ht="27.75" hidden="false" customHeight="true" outlineLevel="0" collapsed="false">
      <c r="A28" s="21" t="s">
        <v>115</v>
      </c>
      <c r="B28" s="20" t="s">
        <v>116</v>
      </c>
      <c r="C28" s="21" t="s">
        <v>22</v>
      </c>
      <c r="D28" s="21" t="str">
        <f aca="false">IF(P28&lt;&gt;"","⚪ Published",IF(L28="Accepted","⚪ Completed",IF(L28="Rejected","🔴 Closed — resubmit?",IF(L28="Revise &amp; Resubmit","🟡 Needs Attention",IF(L28="Withdrawn","🟠 Waiting",IF(AND(K28&lt;&gt;"",K28&lt;0),"🔴 Overdue",IF(AND(K28&lt;&gt;"",K28&lt;=14,K28&gt;=0),"🟡 Needs Attention",IF(H28&gt;0,"🔵 Reviewing",IF(C28="On Hold","🟠 Waiting",IF(C28="Idea","🟠 Waiting",IF(C28="Drafting","🟢 On Track",IF(C28="Internal Review","🔵 Reviewing","⚪ Needs Status"))))))))))))</f>
        <v>🔵 Reviewing</v>
      </c>
      <c r="E28" s="21"/>
      <c r="F28" s="21"/>
      <c r="G28" s="21"/>
      <c r="H28" s="21" t="n">
        <f aca="false">COUNTIF('📨 Submissions Log'!$A$4:$A$500,B28)</f>
        <v>0</v>
      </c>
      <c r="I28" s="21" t="str">
        <f aca="false">IF(H28=0,IF(F28="","",F28),IFERROR(INDEX('📨 Submissions Log'!$D$4:$D$500,MATCH(B28&amp;"|"&amp;H28,'📨 Submissions Log'!$C$4:$C$500,0)),""))</f>
        <v/>
      </c>
      <c r="J28" s="22" t="str">
        <f aca="false">IF(H28=0,IF(G28="","",G28),IF(N(IFERROR(INDEX('📨 Submissions Log'!$F$4:$F$500,MATCH(B28&amp;"|"&amp;H28,'📨 Submissions Log'!$C$4:$C$500,0)),0))=0,"",INDEX('📨 Submissions Log'!$F$4:$F$500,MATCH(B28&amp;"|"&amp;H28,'📨 Submissions Log'!$C$4:$C$500,0))))</f>
        <v/>
      </c>
      <c r="K28" s="21" t="str">
        <f aca="true">IF(J28="","",J28-TODAY())</f>
        <v/>
      </c>
      <c r="L28" s="21" t="str">
        <f aca="false">IF(H28=0,"",IFERROR(INDEX('📨 Submissions Log'!$G$4:$G$500,MATCH(B28&amp;"|"&amp;H28,'📨 Submissions Log'!$C$4:$C$500,0)),""))</f>
        <v/>
      </c>
      <c r="M28" s="21"/>
      <c r="N28" s="21"/>
      <c r="O28" s="21"/>
      <c r="P28" s="21"/>
      <c r="Q28" s="21"/>
      <c r="R28" s="21"/>
      <c r="S28" s="21"/>
      <c r="T28" s="20"/>
    </row>
    <row r="29" customFormat="false" ht="37.5" hidden="false" customHeight="true" outlineLevel="0" collapsed="false">
      <c r="A29" s="17" t="s">
        <v>117</v>
      </c>
      <c r="B29" s="16" t="s">
        <v>118</v>
      </c>
      <c r="C29" s="23" t="s">
        <v>22</v>
      </c>
      <c r="D29" s="23" t="str">
        <f aca="false">IF(P29&lt;&gt;"","⚪ Published",IF(L29="Accepted","⚪ Completed",IF(L29="Rejected","🔴 Closed — resubmit?",IF(L29="Revise &amp; Resubmit","🟡 Needs Attention",IF(L29="Withdrawn","🟠 Waiting",IF(AND(K29&lt;&gt;"",K29&lt;0),"🔴 Overdue",IF(AND(K29&lt;&gt;"",K29&lt;=14,K29&gt;=0),"🟡 Needs Attention",IF(H29&gt;0,"🔵 Reviewing",IF(C29="On Hold","🟠 Waiting",IF(C29="Idea","🟠 Waiting",IF(C29="Drafting","🟢 On Track",IF(C29="Internal Review","🔵 Reviewing","⚪ Needs Status"))))))))))))</f>
        <v>🔵 Reviewing</v>
      </c>
      <c r="E29" s="23"/>
      <c r="F29" s="17"/>
      <c r="G29" s="17"/>
      <c r="H29" s="17" t="n">
        <f aca="false">COUNTIF('📨 Submissions Log'!$A$4:$A$500,B29)</f>
        <v>0</v>
      </c>
      <c r="I29" s="17" t="str">
        <f aca="false">IF(H29=0,IF(F29="","",F29),IFERROR(INDEX('📨 Submissions Log'!$D$4:$D$500,MATCH(B29&amp;"|"&amp;H29,'📨 Submissions Log'!$C$4:$C$500,0)),""))</f>
        <v/>
      </c>
      <c r="J29" s="24" t="str">
        <f aca="false">IF(H29=0,IF(G29="","",G29),IF(N(IFERROR(INDEX('📨 Submissions Log'!$F$4:$F$500,MATCH(B29&amp;"|"&amp;H29,'📨 Submissions Log'!$C$4:$C$500,0)),0))=0,"",INDEX('📨 Submissions Log'!$F$4:$F$500,MATCH(B29&amp;"|"&amp;H29,'📨 Submissions Log'!$C$4:$C$500,0))))</f>
        <v/>
      </c>
      <c r="K29" s="17" t="str">
        <f aca="true">IF(J29="","",J29-TODAY())</f>
        <v/>
      </c>
      <c r="L29" s="17" t="str">
        <f aca="false">IF(H29=0,"",IFERROR(INDEX('📨 Submissions Log'!$G$4:$G$500,MATCH(B29&amp;"|"&amp;H29,'📨 Submissions Log'!$C$4:$C$500,0)),""))</f>
        <v/>
      </c>
      <c r="M29" s="23"/>
      <c r="N29" s="17"/>
      <c r="O29" s="17"/>
      <c r="P29" s="17"/>
      <c r="Q29" s="23"/>
      <c r="R29" s="17"/>
      <c r="S29" s="17"/>
      <c r="T29" s="16"/>
    </row>
    <row r="30" customFormat="false" ht="37.5" hidden="false" customHeight="true" outlineLevel="0" collapsed="false">
      <c r="A30" s="21" t="s">
        <v>119</v>
      </c>
      <c r="B30" s="20" t="s">
        <v>120</v>
      </c>
      <c r="C30" s="21" t="s">
        <v>22</v>
      </c>
      <c r="D30" s="21" t="str">
        <f aca="false">IF(P30&lt;&gt;"","⚪ Published",IF(L30="Accepted","⚪ Completed",IF(L30="Rejected","🔴 Closed — resubmit?",IF(L30="Revise &amp; Resubmit","🟡 Needs Attention",IF(L30="Withdrawn","🟠 Waiting",IF(AND(K30&lt;&gt;"",K30&lt;0),"🔴 Overdue",IF(AND(K30&lt;&gt;"",K30&lt;=14,K30&gt;=0),"🟡 Needs Attention",IF(H30&gt;0,"🔵 Reviewing",IF(C30="On Hold","🟠 Waiting",IF(C30="Idea","🟠 Waiting",IF(C30="Drafting","🟢 On Track",IF(C30="Internal Review","🔵 Reviewing","⚪ Needs Status"))))))))))))</f>
        <v>🔴 Overdue</v>
      </c>
      <c r="E30" s="21"/>
      <c r="F30" s="21" t="s">
        <v>121</v>
      </c>
      <c r="G30" s="22" t="n">
        <v>46234</v>
      </c>
      <c r="H30" s="21" t="n">
        <f aca="false">COUNTIF('📨 Submissions Log'!$A$4:$A$500,B30)</f>
        <v>0</v>
      </c>
      <c r="I30" s="21" t="str">
        <f aca="false">IF(H30=0,IF(F30="","",F30),IFERROR(INDEX('📨 Submissions Log'!$D$4:$D$500,MATCH(B30&amp;"|"&amp;H30,'📨 Submissions Log'!$C$4:$C$500,0)),""))</f>
        <v>Nature Medicine</v>
      </c>
      <c r="J30" s="22" t="n">
        <f aca="false">IF(H30=0,IF(G30="","",G30),IF(N(IFERROR(INDEX('📨 Submissions Log'!$F$4:$F$500,MATCH(B30&amp;"|"&amp;H30,'📨 Submissions Log'!$C$4:$C$500,0)),0))=0,"",INDEX('📨 Submissions Log'!$F$4:$F$500,MATCH(B30&amp;"|"&amp;H30,'📨 Submissions Log'!$C$4:$C$500,0))))</f>
        <v>46234</v>
      </c>
      <c r="K30" s="21" t="n">
        <f aca="true">IF(J30="","",J30-TODAY())</f>
        <v>-10</v>
      </c>
      <c r="L30" s="21" t="str">
        <f aca="false">IF(H30=0,"",IFERROR(INDEX('📨 Submissions Log'!$G$4:$G$500,MATCH(B30&amp;"|"&amp;H30,'📨 Submissions Log'!$C$4:$C$500,0)),""))</f>
        <v/>
      </c>
      <c r="M30" s="21" t="s">
        <v>18</v>
      </c>
      <c r="N30" s="21"/>
      <c r="O30" s="21"/>
      <c r="P30" s="21"/>
      <c r="Q30" s="21"/>
      <c r="R30" s="21"/>
      <c r="S30" s="21"/>
      <c r="T30" s="20"/>
    </row>
    <row r="31" customFormat="false" ht="37.5" hidden="false" customHeight="true" outlineLevel="0" collapsed="false">
      <c r="A31" s="17" t="s">
        <v>122</v>
      </c>
      <c r="B31" s="16" t="s">
        <v>123</v>
      </c>
      <c r="C31" s="23"/>
      <c r="D31" s="23" t="str">
        <f aca="false">IF(P31&lt;&gt;"","⚪ Published",IF(L31="Accepted","⚪ Completed",IF(L31="Rejected","🔴 Closed — resubmit?",IF(L31="Revise &amp; Resubmit","🟡 Needs Attention",IF(L31="Withdrawn","🟠 Waiting",IF(AND(K31&lt;&gt;"",K31&lt;0),"🔴 Overdue",IF(AND(K31&lt;&gt;"",K31&lt;=14,K31&gt;=0),"🟡 Needs Attention",IF(H31&gt;0,"🔵 Reviewing",IF(C31="On Hold","🟠 Waiting",IF(C31="Idea","🟠 Waiting",IF(C31="Drafting","🟢 On Track",IF(C31="Internal Review","🔵 Reviewing","⚪ Needs Status"))))))))))))</f>
        <v>🔵 Reviewing</v>
      </c>
      <c r="E31" s="23"/>
      <c r="F31" s="17"/>
      <c r="G31" s="17"/>
      <c r="H31" s="17" t="n">
        <f aca="false">COUNTIF('📨 Submissions Log'!$A$4:$A$500,B31)</f>
        <v>1</v>
      </c>
      <c r="I31" s="17" t="str">
        <f aca="false">IF(H31=0,IF(F31="","",F31),IFERROR(INDEX('📨 Submissions Log'!$D$4:$D$500,MATCH(B31&amp;"|"&amp;H31,'📨 Submissions Log'!$C$4:$C$500,0)),""))</f>
        <v>TBD</v>
      </c>
      <c r="J31" s="24" t="str">
        <f aca="false">IF(H31=0,IF(G31="","",G31),IF(N(IFERROR(INDEX('📨 Submissions Log'!$F$4:$F$500,MATCH(B31&amp;"|"&amp;H31,'📨 Submissions Log'!$C$4:$C$500,0)),0))=0,"",INDEX('📨 Submissions Log'!$F$4:$F$500,MATCH(B31&amp;"|"&amp;H31,'📨 Submissions Log'!$C$4:$C$500,0))))</f>
        <v/>
      </c>
      <c r="K31" s="17" t="str">
        <f aca="true">IF(J31="","",J31-TODAY())</f>
        <v/>
      </c>
      <c r="L31" s="17" t="str">
        <f aca="false">IF(H31=0,"",IFERROR(INDEX('📨 Submissions Log'!$G$4:$G$500,MATCH(B31&amp;"|"&amp;H31,'📨 Submissions Log'!$C$4:$C$500,0)),""))</f>
        <v>Under Review</v>
      </c>
      <c r="M31" s="23" t="s">
        <v>24</v>
      </c>
      <c r="N31" s="17"/>
      <c r="O31" s="17"/>
      <c r="P31" s="17"/>
      <c r="Q31" s="23"/>
      <c r="R31" s="17"/>
      <c r="S31" s="17"/>
      <c r="T31" s="16"/>
    </row>
    <row r="32" customFormat="false" ht="37.5" hidden="false" customHeight="true" outlineLevel="0" collapsed="false">
      <c r="A32" s="21" t="s">
        <v>124</v>
      </c>
      <c r="B32" s="20" t="s">
        <v>125</v>
      </c>
      <c r="C32" s="21" t="s">
        <v>19</v>
      </c>
      <c r="D32" s="21" t="str">
        <f aca="false">IF(P32&lt;&gt;"","⚪ Published",IF(L32="Accepted","⚪ Completed",IF(L32="Rejected","🔴 Closed — resubmit?",IF(L32="Revise &amp; Resubmit","🟡 Needs Attention",IF(L32="Withdrawn","🟠 Waiting",IF(AND(K32&lt;&gt;"",K32&lt;0),"🔴 Overdue",IF(AND(K32&lt;&gt;"",K32&lt;=14,K32&gt;=0),"🟡 Needs Attention",IF(H32&gt;0,"🔵 Reviewing",IF(C32="On Hold","🟠 Waiting",IF(C32="Idea","🟠 Waiting",IF(C32="Drafting","🟢 On Track",IF(C32="Internal Review","🔵 Reviewing","⚪ Needs Status"))))))))))))</f>
        <v>🟢 On Track</v>
      </c>
      <c r="E32" s="21"/>
      <c r="F32" s="21"/>
      <c r="G32" s="21"/>
      <c r="H32" s="21" t="n">
        <f aca="false">COUNTIF('📨 Submissions Log'!$A$4:$A$500,B32)</f>
        <v>0</v>
      </c>
      <c r="I32" s="21" t="str">
        <f aca="false">IF(H32=0,IF(F32="","",F32),IFERROR(INDEX('📨 Submissions Log'!$D$4:$D$500,MATCH(B32&amp;"|"&amp;H32,'📨 Submissions Log'!$C$4:$C$500,0)),""))</f>
        <v/>
      </c>
      <c r="J32" s="22" t="str">
        <f aca="false">IF(H32=0,IF(G32="","",G32),IF(N(IFERROR(INDEX('📨 Submissions Log'!$F$4:$F$500,MATCH(B32&amp;"|"&amp;H32,'📨 Submissions Log'!$C$4:$C$500,0)),0))=0,"",INDEX('📨 Submissions Log'!$F$4:$F$500,MATCH(B32&amp;"|"&amp;H32,'📨 Submissions Log'!$C$4:$C$500,0))))</f>
        <v/>
      </c>
      <c r="K32" s="21" t="str">
        <f aca="true">IF(J32="","",J32-TODAY())</f>
        <v/>
      </c>
      <c r="L32" s="21" t="str">
        <f aca="false">IF(H32=0,"",IFERROR(INDEX('📨 Submissions Log'!$G$4:$G$500,MATCH(B32&amp;"|"&amp;H32,'📨 Submissions Log'!$C$4:$C$500,0)),""))</f>
        <v/>
      </c>
      <c r="M32" s="21" t="s">
        <v>18</v>
      </c>
      <c r="N32" s="21"/>
      <c r="O32" s="21"/>
      <c r="P32" s="21"/>
      <c r="Q32" s="21"/>
      <c r="R32" s="21"/>
      <c r="S32" s="21"/>
      <c r="T32" s="20"/>
    </row>
    <row r="33" customFormat="false" ht="27.75" hidden="false" customHeight="true" outlineLevel="0" collapsed="false">
      <c r="A33" s="17" t="s">
        <v>126</v>
      </c>
      <c r="B33" s="16" t="s">
        <v>127</v>
      </c>
      <c r="C33" s="23" t="s">
        <v>19</v>
      </c>
      <c r="D33" s="23" t="str">
        <f aca="false">IF(P33&lt;&gt;"","⚪ Published",IF(L33="Accepted","⚪ Completed",IF(L33="Rejected","🔴 Closed — resubmit?",IF(L33="Revise &amp; Resubmit","🟡 Needs Attention",IF(L33="Withdrawn","🟠 Waiting",IF(AND(K33&lt;&gt;"",K33&lt;0),"🔴 Overdue",IF(AND(K33&lt;&gt;"",K33&lt;=14,K33&gt;=0),"🟡 Needs Attention",IF(H33&gt;0,"🔵 Reviewing",IF(C33="On Hold","🟠 Waiting",IF(C33="Idea","🟠 Waiting",IF(C33="Drafting","🟢 On Track",IF(C33="Internal Review","🔵 Reviewing","⚪ Needs Status"))))))))))))</f>
        <v>🔴 Overdue</v>
      </c>
      <c r="E33" s="23"/>
      <c r="F33" s="17" t="s">
        <v>128</v>
      </c>
      <c r="G33" s="24" t="n">
        <v>46234</v>
      </c>
      <c r="H33" s="17" t="n">
        <f aca="false">COUNTIF('📨 Submissions Log'!$A$4:$A$500,B33)</f>
        <v>0</v>
      </c>
      <c r="I33" s="17" t="str">
        <f aca="false">IF(H33=0,IF(F33="","",F33),IFERROR(INDEX('📨 Submissions Log'!$D$4:$D$500,MATCH(B33&amp;"|"&amp;H33,'📨 Submissions Log'!$C$4:$C$500,0)),""))</f>
        <v>BU Health AI</v>
      </c>
      <c r="J33" s="24" t="n">
        <f aca="false">IF(H33=0,IF(G33="","",G33),IF(N(IFERROR(INDEX('📨 Submissions Log'!$F$4:$F$500,MATCH(B33&amp;"|"&amp;H33,'📨 Submissions Log'!$C$4:$C$500,0)),0))=0,"",INDEX('📨 Submissions Log'!$F$4:$F$500,MATCH(B33&amp;"|"&amp;H33,'📨 Submissions Log'!$C$4:$C$500,0))))</f>
        <v>46234</v>
      </c>
      <c r="K33" s="17" t="n">
        <f aca="true">IF(J33="","",J33-TODAY())</f>
        <v>-10</v>
      </c>
      <c r="L33" s="17" t="str">
        <f aca="false">IF(H33=0,"",IFERROR(INDEX('📨 Submissions Log'!$G$4:$G$500,MATCH(B33&amp;"|"&amp;H33,'📨 Submissions Log'!$C$4:$C$500,0)),""))</f>
        <v/>
      </c>
      <c r="M33" s="23"/>
      <c r="N33" s="17"/>
      <c r="O33" s="17"/>
      <c r="P33" s="17"/>
      <c r="Q33" s="23"/>
      <c r="R33" s="17"/>
      <c r="S33" s="17"/>
      <c r="T33" s="16"/>
    </row>
  </sheetData>
  <mergeCells count="2">
    <mergeCell ref="A1:T1"/>
    <mergeCell ref="A2:T2"/>
  </mergeCells>
  <conditionalFormatting sqref="C4:C33">
    <cfRule type="cellIs" priority="2" operator="equal" aboveAverage="0" equalAverage="0" bottom="0" percent="0" rank="0" text="" dxfId="0">
      <formula>"Idea"</formula>
    </cfRule>
    <cfRule type="cellIs" priority="3" operator="equal" aboveAverage="0" equalAverage="0" bottom="0" percent="0" rank="0" text="" dxfId="1">
      <formula>"Drafting"</formula>
    </cfRule>
    <cfRule type="cellIs" priority="4" operator="equal" aboveAverage="0" equalAverage="0" bottom="0" percent="0" rank="0" text="" dxfId="2">
      <formula>"Internal Review"</formula>
    </cfRule>
    <cfRule type="cellIs" priority="5" operator="equal" aboveAverage="0" equalAverage="0" bottom="0" percent="0" rank="0" text="" dxfId="0">
      <formula>"On Hold"</formula>
    </cfRule>
  </conditionalFormatting>
  <conditionalFormatting sqref="E4:E33">
    <cfRule type="cellIs" priority="6" operator="equal" aboveAverage="0" equalAverage="0" bottom="0" percent="0" rank="0" text="" dxfId="3">
      <formula>"High"</formula>
    </cfRule>
    <cfRule type="cellIs" priority="7" operator="equal" aboveAverage="0" equalAverage="0" bottom="0" percent="0" rank="0" text="" dxfId="4">
      <formula>"Medium"</formula>
    </cfRule>
    <cfRule type="cellIs" priority="8" operator="equal" aboveAverage="0" equalAverage="0" bottom="0" percent="0" rank="0" text="" dxfId="0">
      <formula>"Low"</formula>
    </cfRule>
  </conditionalFormatting>
  <conditionalFormatting sqref="D4:D33">
    <cfRule type="expression" priority="9" aboveAverage="0" equalAverage="0" bottom="0" percent="0" rank="0" text="" dxfId="5">
      <formula>$D4="⚪ Published"</formula>
    </cfRule>
    <cfRule type="expression" priority="10" aboveAverage="0" equalAverage="0" bottom="0" percent="0" rank="0" text="" dxfId="5">
      <formula>$D4="⚪ Completed"</formula>
    </cfRule>
    <cfRule type="expression" priority="11" aboveAverage="0" equalAverage="0" bottom="0" percent="0" rank="0" text="" dxfId="0">
      <formula>$D4="⚪ Needs Status"</formula>
    </cfRule>
    <cfRule type="expression" priority="12" aboveAverage="0" equalAverage="0" bottom="0" percent="0" rank="0" text="" dxfId="3">
      <formula>$D4="🔴 Closed — resubmit?"</formula>
    </cfRule>
    <cfRule type="expression" priority="13" aboveAverage="0" equalAverage="0" bottom="0" percent="0" rank="0" text="" dxfId="3">
      <formula>$D4="🔴 Overdue"</formula>
    </cfRule>
    <cfRule type="expression" priority="14" aboveAverage="0" equalAverage="0" bottom="0" percent="0" rank="0" text="" dxfId="6">
      <formula>$D4="🟠 Waiting"</formula>
    </cfRule>
    <cfRule type="expression" priority="15" aboveAverage="0" equalAverage="0" bottom="0" percent="0" rank="0" text="" dxfId="4">
      <formula>$D4="🟡 Needs Attention"</formula>
    </cfRule>
    <cfRule type="expression" priority="16" aboveAverage="0" equalAverage="0" bottom="0" percent="0" rank="0" text="" dxfId="1">
      <formula>$D4="🔵 Reviewing"</formula>
    </cfRule>
    <cfRule type="expression" priority="17" aboveAverage="0" equalAverage="0" bottom="0" percent="0" rank="0" text="" dxfId="7">
      <formula>$D4="🟢 On Track"</formula>
    </cfRule>
  </conditionalFormatting>
  <conditionalFormatting sqref="J4:J33">
    <cfRule type="expression" priority="18" aboveAverage="0" equalAverage="0" bottom="0" percent="0" rank="0" text="" dxfId="3">
      <formula>AND(J4&lt;&gt;"",K4&lt;&gt;"",K4&lt;0)</formula>
    </cfRule>
    <cfRule type="expression" priority="19" aboveAverage="0" equalAverage="0" bottom="0" percent="0" rank="0" text="" dxfId="4">
      <formula>AND(J4&lt;&gt;"",K4&lt;&gt;"",K4&lt;=14,K4&gt;=0)</formula>
    </cfRule>
  </conditionalFormatting>
  <conditionalFormatting sqref="Q4:Q33">
    <cfRule type="dataBar" priority="20">
      <dataBar showValue="1" minLength="10" maxLength="90">
        <cfvo type="num" val="0"/>
        <cfvo type="num" val="100"/>
        <color rgb="FF2563EB"/>
      </dataBar>
      <extLst>
        <ext xmlns:x14="http://schemas.microsoft.com/office/spreadsheetml/2009/9/main" uri="{B025F937-C7B1-47D3-B67F-A62EFF666E3E}">
          <x14:id>{A79B8FCB-60D2-4C29-AD63-9F295199CBE6}</x14:id>
        </ext>
      </extLst>
    </cfRule>
  </conditionalFormatting>
  <conditionalFormatting sqref="M4:M33">
    <cfRule type="expression" priority="21" aboveAverage="0" equalAverage="0" bottom="0" percent="0" rank="0" text="" dxfId="8">
      <formula>M4=""</formula>
    </cfRule>
  </conditionalFormatting>
  <dataValidations count="3">
    <dataValidation allowBlank="true" errorStyle="stop" operator="between" prompt="Pre-submission stage only. Once you log a submission, Status is driven by the Decision in the Submissions Log instead." showDropDown="false" showErrorMessage="false" showInputMessage="false" sqref="C4:C33" type="list">
      <formula1>"Idea,Drafting,Internal Review,On Hold"</formula1>
      <formula2>0</formula2>
    </dataValidation>
    <dataValidation allowBlank="true" errorStyle="stop" operator="between" showDropDown="false" showErrorMessage="false" showInputMessage="false" sqref="E4:E33" type="list">
      <formula1>"High,Medium,Low"</formula1>
      <formula2>0</formula2>
    </dataValidation>
    <dataValidation allowBlank="true" errorStyle="stop" operator="between" showDropDown="false" showErrorMessage="false" showInputMessage="false" sqref="Q4:Q33" type="whole">
      <formula1>0</formula1>
      <formula2>100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79B8FCB-60D2-4C29-AD63-9F295199CBE6}">
            <x14:dataBar minLength="10" maxLength="90" axisPosition="none" gradient="true">
              <x14:cfvo type="num">
                <xm:f>0</xm:f>
              </x14:cfvo>
              <x14:cfvo type="num">
                <xm:f>100</xm:f>
              </x14:cfvo>
              <x14:negativeFillColor rgb="FF2563EB"/>
              <x14:axisColor rgb="FF000000"/>
            </x14:dataBar>
          </x14:cfRule>
          <xm:sqref>Q4:Q33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1"/>
  <cols>
    <col collapsed="false" customWidth="true" hidden="false" outlineLevel="0" max="1" min="1" style="1" width="42"/>
    <col collapsed="false" customWidth="true" hidden="false" outlineLevel="0" max="2" min="2" style="1" width="9"/>
    <col collapsed="false" customWidth="true" hidden="false" outlineLevel="1" max="3" min="3" style="1" width="4"/>
    <col collapsed="false" customWidth="true" hidden="false" outlineLevel="0" max="4" min="4" style="1" width="26"/>
    <col collapsed="false" customWidth="true" hidden="false" outlineLevel="0" max="5" min="5" style="1" width="14"/>
    <col collapsed="false" customWidth="true" hidden="false" outlineLevel="0" max="6" min="6" style="1" width="15"/>
    <col collapsed="false" customWidth="true" hidden="false" outlineLevel="0" max="7" min="7" style="1" width="16"/>
    <col collapsed="false" customWidth="true" hidden="false" outlineLevel="0" max="8" min="8" style="1" width="13"/>
    <col collapsed="false" customWidth="true" hidden="false" outlineLevel="0" max="9" min="9" style="1" width="26"/>
  </cols>
  <sheetData>
    <row r="1" customFormat="false" ht="33.75" hidden="false" customHeight="true" outlineLevel="0" collapsed="false">
      <c r="A1" s="2" t="s">
        <v>129</v>
      </c>
      <c r="B1" s="2"/>
      <c r="C1" s="2"/>
      <c r="D1" s="2"/>
      <c r="E1" s="2"/>
      <c r="F1" s="2"/>
      <c r="G1" s="2"/>
      <c r="H1" s="2"/>
      <c r="I1" s="2"/>
    </row>
    <row r="2" customFormat="false" ht="18" hidden="false" customHeight="true" outlineLevel="0" collapsed="false">
      <c r="A2" s="3" t="s">
        <v>130</v>
      </c>
      <c r="B2" s="3"/>
      <c r="C2" s="3"/>
      <c r="D2" s="3"/>
      <c r="E2" s="3"/>
      <c r="F2" s="3"/>
      <c r="G2" s="3"/>
      <c r="H2" s="3"/>
      <c r="I2" s="3"/>
    </row>
    <row r="3" customFormat="false" ht="33.75" hidden="false" customHeight="true" outlineLevel="0" collapsed="false">
      <c r="A3" s="15" t="s">
        <v>131</v>
      </c>
      <c r="B3" s="15" t="s">
        <v>132</v>
      </c>
      <c r="C3" s="15" t="s">
        <v>133</v>
      </c>
      <c r="D3" s="15" t="s">
        <v>134</v>
      </c>
      <c r="E3" s="15" t="s">
        <v>135</v>
      </c>
      <c r="F3" s="15" t="s">
        <v>136</v>
      </c>
      <c r="G3" s="15" t="s">
        <v>13</v>
      </c>
      <c r="H3" s="15" t="s">
        <v>137</v>
      </c>
      <c r="I3" s="15" t="s">
        <v>52</v>
      </c>
    </row>
    <row r="4" customFormat="false" ht="25.5" hidden="false" customHeight="true" outlineLevel="0" collapsed="false">
      <c r="A4" s="20" t="s">
        <v>70</v>
      </c>
      <c r="B4" s="21" t="n">
        <f aca="false">COUNTIF($A$4:A4,A4)</f>
        <v>1</v>
      </c>
      <c r="C4" s="21" t="str">
        <f aca="false">A4&amp;"|"&amp;B4</f>
        <v>Before You Build: Seven Misconceptions Health AI Developers Must Confront in Global Public Health|1</v>
      </c>
      <c r="D4" s="20" t="s">
        <v>138</v>
      </c>
      <c r="E4" s="22"/>
      <c r="F4" s="22"/>
      <c r="G4" s="21" t="s">
        <v>17</v>
      </c>
      <c r="H4" s="22"/>
      <c r="I4" s="20"/>
    </row>
    <row r="5" customFormat="false" ht="25.5" hidden="false" customHeight="true" outlineLevel="0" collapsed="false">
      <c r="A5" s="16" t="s">
        <v>123</v>
      </c>
      <c r="B5" s="17" t="n">
        <f aca="false">COUNTIF($A$4:A5,A5)</f>
        <v>1</v>
      </c>
      <c r="C5" s="17" t="str">
        <f aca="false">A5&amp;"|"&amp;B5</f>
        <v>The Crystal Ball Problem: Why Prediction Models Are Not Guaranteed to Improve Health Outcomes|1</v>
      </c>
      <c r="D5" s="16" t="s">
        <v>139</v>
      </c>
      <c r="E5" s="24"/>
      <c r="F5" s="24"/>
      <c r="G5" s="23" t="s">
        <v>17</v>
      </c>
      <c r="H5" s="24"/>
      <c r="I5" s="16"/>
    </row>
    <row r="6" customFormat="false" ht="25.5" hidden="false" customHeight="true" outlineLevel="0" collapsed="false">
      <c r="A6" s="20" t="s">
        <v>63</v>
      </c>
      <c r="B6" s="21" t="n">
        <f aca="false">COUNTIF($A$4:A6,A6)</f>
        <v>1</v>
      </c>
      <c r="C6" s="21" t="str">
        <f aca="false">A6&amp;"|"&amp;B6</f>
        <v>AI Sriracha: Training the Next Generation as Double Agents|1</v>
      </c>
      <c r="D6" s="20" t="s">
        <v>140</v>
      </c>
      <c r="E6" s="22" t="n">
        <v>46084</v>
      </c>
      <c r="F6" s="22"/>
      <c r="G6" s="21" t="s">
        <v>26</v>
      </c>
      <c r="H6" s="22" t="n">
        <v>46162</v>
      </c>
      <c r="I6" s="20" t="s">
        <v>141</v>
      </c>
    </row>
    <row r="7" customFormat="false" ht="25.5" hidden="false" customHeight="true" outlineLevel="0" collapsed="false">
      <c r="A7" s="16" t="s">
        <v>63</v>
      </c>
      <c r="B7" s="17" t="n">
        <f aca="false">COUNTIF($A$4:A7,A7)</f>
        <v>2</v>
      </c>
      <c r="C7" s="17" t="str">
        <f aca="false">A7&amp;"|"&amp;B7</f>
        <v>AI Sriracha: Training the Next Generation as Double Agents|2</v>
      </c>
      <c r="D7" s="16" t="s">
        <v>142</v>
      </c>
      <c r="E7" s="24" t="n">
        <v>46188</v>
      </c>
      <c r="F7" s="24"/>
      <c r="G7" s="23" t="s">
        <v>17</v>
      </c>
      <c r="H7" s="24"/>
      <c r="I7" s="16" t="s">
        <v>143</v>
      </c>
    </row>
    <row r="8" customFormat="false" ht="25.5" hidden="false" customHeight="true" outlineLevel="0" collapsed="false">
      <c r="A8" s="25"/>
      <c r="B8" s="26" t="str">
        <f aca="false">IF(A8="","",COUNTIF($A$4:A8,A8))</f>
        <v/>
      </c>
      <c r="C8" s="26" t="str">
        <f aca="false">IF(A8="","",A8&amp;"|"&amp;B8)</f>
        <v/>
      </c>
      <c r="D8" s="25"/>
      <c r="E8" s="27"/>
      <c r="F8" s="27"/>
      <c r="G8" s="26"/>
      <c r="H8" s="27"/>
      <c r="I8" s="25"/>
    </row>
    <row r="9" customFormat="false" ht="25.5" hidden="false" customHeight="true" outlineLevel="0" collapsed="false">
      <c r="A9" s="28"/>
      <c r="B9" s="29" t="str">
        <f aca="false">IF(A9="","",COUNTIF($A$4:A9,A9))</f>
        <v/>
      </c>
      <c r="C9" s="29" t="str">
        <f aca="false">IF(A9="","",A9&amp;"|"&amp;B9)</f>
        <v/>
      </c>
      <c r="D9" s="28"/>
      <c r="E9" s="30"/>
      <c r="F9" s="30"/>
      <c r="G9" s="29"/>
      <c r="H9" s="30"/>
      <c r="I9" s="28"/>
    </row>
    <row r="10" customFormat="false" ht="25.5" hidden="false" customHeight="true" outlineLevel="0" collapsed="false">
      <c r="A10" s="25"/>
      <c r="B10" s="26" t="str">
        <f aca="false">IF(A10="","",COUNTIF($A$4:A10,A10))</f>
        <v/>
      </c>
      <c r="C10" s="26" t="str">
        <f aca="false">IF(A10="","",A10&amp;"|"&amp;B10)</f>
        <v/>
      </c>
      <c r="D10" s="25"/>
      <c r="E10" s="27"/>
      <c r="F10" s="27"/>
      <c r="G10" s="26"/>
      <c r="H10" s="27"/>
      <c r="I10" s="25"/>
    </row>
    <row r="11" customFormat="false" ht="25.5" hidden="false" customHeight="true" outlineLevel="0" collapsed="false">
      <c r="A11" s="28"/>
      <c r="B11" s="29" t="str">
        <f aca="false">IF(A11="","",COUNTIF($A$4:A11,A11))</f>
        <v/>
      </c>
      <c r="C11" s="29" t="str">
        <f aca="false">IF(A11="","",A11&amp;"|"&amp;B11)</f>
        <v/>
      </c>
      <c r="D11" s="28"/>
      <c r="E11" s="30"/>
      <c r="F11" s="30"/>
      <c r="G11" s="29"/>
      <c r="H11" s="30"/>
      <c r="I11" s="28"/>
    </row>
    <row r="12" customFormat="false" ht="25.5" hidden="false" customHeight="true" outlineLevel="0" collapsed="false">
      <c r="A12" s="25"/>
      <c r="B12" s="26" t="str">
        <f aca="false">IF(A12="","",COUNTIF($A$4:A12,A12))</f>
        <v/>
      </c>
      <c r="C12" s="26" t="str">
        <f aca="false">IF(A12="","",A12&amp;"|"&amp;B12)</f>
        <v/>
      </c>
      <c r="D12" s="25"/>
      <c r="E12" s="27"/>
      <c r="F12" s="27"/>
      <c r="G12" s="26"/>
      <c r="H12" s="27"/>
      <c r="I12" s="25"/>
    </row>
    <row r="13" customFormat="false" ht="25.5" hidden="false" customHeight="true" outlineLevel="0" collapsed="false">
      <c r="A13" s="28"/>
      <c r="B13" s="29" t="str">
        <f aca="false">IF(A13="","",COUNTIF($A$4:A13,A13))</f>
        <v/>
      </c>
      <c r="C13" s="29" t="str">
        <f aca="false">IF(A13="","",A13&amp;"|"&amp;B13)</f>
        <v/>
      </c>
      <c r="D13" s="28"/>
      <c r="E13" s="30"/>
      <c r="F13" s="30"/>
      <c r="G13" s="29"/>
      <c r="H13" s="30"/>
      <c r="I13" s="28"/>
    </row>
    <row r="14" customFormat="false" ht="25.5" hidden="false" customHeight="true" outlineLevel="0" collapsed="false">
      <c r="A14" s="25"/>
      <c r="B14" s="26" t="str">
        <f aca="false">IF(A14="","",COUNTIF($A$4:A14,A14))</f>
        <v/>
      </c>
      <c r="C14" s="26" t="str">
        <f aca="false">IF(A14="","",A14&amp;"|"&amp;B14)</f>
        <v/>
      </c>
      <c r="D14" s="25"/>
      <c r="E14" s="27"/>
      <c r="F14" s="27"/>
      <c r="G14" s="26"/>
      <c r="H14" s="27"/>
      <c r="I14" s="25"/>
    </row>
    <row r="15" customFormat="false" ht="25.5" hidden="false" customHeight="true" outlineLevel="0" collapsed="false">
      <c r="A15" s="28"/>
      <c r="B15" s="29" t="str">
        <f aca="false">IF(A15="","",COUNTIF($A$4:A15,A15))</f>
        <v/>
      </c>
      <c r="C15" s="29" t="str">
        <f aca="false">IF(A15="","",A15&amp;"|"&amp;B15)</f>
        <v/>
      </c>
      <c r="D15" s="28"/>
      <c r="E15" s="30"/>
      <c r="F15" s="30"/>
      <c r="G15" s="29"/>
      <c r="H15" s="30"/>
      <c r="I15" s="28"/>
    </row>
    <row r="16" customFormat="false" ht="25.5" hidden="false" customHeight="true" outlineLevel="0" collapsed="false">
      <c r="A16" s="25"/>
      <c r="B16" s="26" t="str">
        <f aca="false">IF(A16="","",COUNTIF($A$4:A16,A16))</f>
        <v/>
      </c>
      <c r="C16" s="26" t="str">
        <f aca="false">IF(A16="","",A16&amp;"|"&amp;B16)</f>
        <v/>
      </c>
      <c r="D16" s="25"/>
      <c r="E16" s="27"/>
      <c r="F16" s="27"/>
      <c r="G16" s="26"/>
      <c r="H16" s="27"/>
      <c r="I16" s="25"/>
    </row>
    <row r="17" customFormat="false" ht="25.5" hidden="false" customHeight="true" outlineLevel="0" collapsed="false">
      <c r="A17" s="28"/>
      <c r="B17" s="29" t="str">
        <f aca="false">IF(A17="","",COUNTIF($A$4:A17,A17))</f>
        <v/>
      </c>
      <c r="C17" s="29" t="str">
        <f aca="false">IF(A17="","",A17&amp;"|"&amp;B17)</f>
        <v/>
      </c>
      <c r="D17" s="28"/>
      <c r="E17" s="30"/>
      <c r="F17" s="30"/>
      <c r="G17" s="29"/>
      <c r="H17" s="30"/>
      <c r="I17" s="28"/>
    </row>
    <row r="18" customFormat="false" ht="25.5" hidden="false" customHeight="true" outlineLevel="0" collapsed="false">
      <c r="A18" s="25"/>
      <c r="B18" s="26" t="str">
        <f aca="false">IF(A18="","",COUNTIF($A$4:A18,A18))</f>
        <v/>
      </c>
      <c r="C18" s="26" t="str">
        <f aca="false">IF(A18="","",A18&amp;"|"&amp;B18)</f>
        <v/>
      </c>
      <c r="D18" s="25"/>
      <c r="E18" s="27"/>
      <c r="F18" s="27"/>
      <c r="G18" s="26"/>
      <c r="H18" s="27"/>
      <c r="I18" s="25"/>
    </row>
    <row r="19" customFormat="false" ht="25.5" hidden="false" customHeight="true" outlineLevel="0" collapsed="false">
      <c r="A19" s="28"/>
      <c r="B19" s="29" t="str">
        <f aca="false">IF(A19="","",COUNTIF($A$4:A19,A19))</f>
        <v/>
      </c>
      <c r="C19" s="29" t="str">
        <f aca="false">IF(A19="","",A19&amp;"|"&amp;B19)</f>
        <v/>
      </c>
      <c r="D19" s="28"/>
      <c r="E19" s="30"/>
      <c r="F19" s="30"/>
      <c r="G19" s="29"/>
      <c r="H19" s="30"/>
      <c r="I19" s="28"/>
    </row>
    <row r="20" customFormat="false" ht="25.5" hidden="false" customHeight="true" outlineLevel="0" collapsed="false">
      <c r="A20" s="25"/>
      <c r="B20" s="26" t="str">
        <f aca="false">IF(A20="","",COUNTIF($A$4:A20,A20))</f>
        <v/>
      </c>
      <c r="C20" s="26" t="str">
        <f aca="false">IF(A20="","",A20&amp;"|"&amp;B20)</f>
        <v/>
      </c>
      <c r="D20" s="25"/>
      <c r="E20" s="27"/>
      <c r="F20" s="27"/>
      <c r="G20" s="26"/>
      <c r="H20" s="27"/>
      <c r="I20" s="25"/>
    </row>
    <row r="21" customFormat="false" ht="25.5" hidden="false" customHeight="true" outlineLevel="0" collapsed="false">
      <c r="A21" s="28"/>
      <c r="B21" s="29" t="str">
        <f aca="false">IF(A21="","",COUNTIF($A$4:A21,A21))</f>
        <v/>
      </c>
      <c r="C21" s="29" t="str">
        <f aca="false">IF(A21="","",A21&amp;"|"&amp;B21)</f>
        <v/>
      </c>
      <c r="D21" s="28"/>
      <c r="E21" s="30"/>
      <c r="F21" s="30"/>
      <c r="G21" s="29"/>
      <c r="H21" s="30"/>
      <c r="I21" s="28"/>
    </row>
    <row r="22" customFormat="false" ht="25.5" hidden="false" customHeight="true" outlineLevel="0" collapsed="false">
      <c r="A22" s="25"/>
      <c r="B22" s="26" t="str">
        <f aca="false">IF(A22="","",COUNTIF($A$4:A22,A22))</f>
        <v/>
      </c>
      <c r="C22" s="26" t="str">
        <f aca="false">IF(A22="","",A22&amp;"|"&amp;B22)</f>
        <v/>
      </c>
      <c r="D22" s="25"/>
      <c r="E22" s="27"/>
      <c r="F22" s="27"/>
      <c r="G22" s="26"/>
      <c r="H22" s="27"/>
      <c r="I22" s="25"/>
    </row>
    <row r="23" customFormat="false" ht="25.5" hidden="false" customHeight="true" outlineLevel="0" collapsed="false">
      <c r="A23" s="28"/>
      <c r="B23" s="29" t="str">
        <f aca="false">IF(A23="","",COUNTIF($A$4:A23,A23))</f>
        <v/>
      </c>
      <c r="C23" s="29" t="str">
        <f aca="false">IF(A23="","",A23&amp;"|"&amp;B23)</f>
        <v/>
      </c>
      <c r="D23" s="28"/>
      <c r="E23" s="30"/>
      <c r="F23" s="30"/>
      <c r="G23" s="29"/>
      <c r="H23" s="30"/>
      <c r="I23" s="28"/>
    </row>
    <row r="24" customFormat="false" ht="25.5" hidden="false" customHeight="true" outlineLevel="0" collapsed="false">
      <c r="A24" s="25"/>
      <c r="B24" s="26" t="str">
        <f aca="false">IF(A24="","",COUNTIF($A$4:A24,A24))</f>
        <v/>
      </c>
      <c r="C24" s="26" t="str">
        <f aca="false">IF(A24="","",A24&amp;"|"&amp;B24)</f>
        <v/>
      </c>
      <c r="D24" s="25"/>
      <c r="E24" s="27"/>
      <c r="F24" s="27"/>
      <c r="G24" s="26"/>
      <c r="H24" s="27"/>
      <c r="I24" s="25"/>
    </row>
    <row r="25" customFormat="false" ht="25.5" hidden="false" customHeight="true" outlineLevel="0" collapsed="false">
      <c r="A25" s="28"/>
      <c r="B25" s="29" t="str">
        <f aca="false">IF(A25="","",COUNTIF($A$4:A25,A25))</f>
        <v/>
      </c>
      <c r="C25" s="29" t="str">
        <f aca="false">IF(A25="","",A25&amp;"|"&amp;B25)</f>
        <v/>
      </c>
      <c r="D25" s="28"/>
      <c r="E25" s="30"/>
      <c r="F25" s="30"/>
      <c r="G25" s="29"/>
      <c r="H25" s="30"/>
      <c r="I25" s="28"/>
    </row>
    <row r="26" customFormat="false" ht="25.5" hidden="false" customHeight="true" outlineLevel="0" collapsed="false">
      <c r="A26" s="25"/>
      <c r="B26" s="26" t="str">
        <f aca="false">IF(A26="","",COUNTIF($A$4:A26,A26))</f>
        <v/>
      </c>
      <c r="C26" s="26" t="str">
        <f aca="false">IF(A26="","",A26&amp;"|"&amp;B26)</f>
        <v/>
      </c>
      <c r="D26" s="25"/>
      <c r="E26" s="27"/>
      <c r="F26" s="27"/>
      <c r="G26" s="26"/>
      <c r="H26" s="27"/>
      <c r="I26" s="25"/>
    </row>
    <row r="27" customFormat="false" ht="25.5" hidden="false" customHeight="true" outlineLevel="0" collapsed="false">
      <c r="A27" s="28"/>
      <c r="B27" s="29" t="str">
        <f aca="false">IF(A27="","",COUNTIF($A$4:A27,A27))</f>
        <v/>
      </c>
      <c r="C27" s="29" t="str">
        <f aca="false">IF(A27="","",A27&amp;"|"&amp;B27)</f>
        <v/>
      </c>
      <c r="D27" s="28"/>
      <c r="E27" s="30"/>
      <c r="F27" s="30"/>
      <c r="G27" s="29"/>
      <c r="H27" s="30"/>
      <c r="I27" s="28"/>
    </row>
    <row r="28" customFormat="false" ht="25.5" hidden="false" customHeight="true" outlineLevel="0" collapsed="false">
      <c r="A28" s="25"/>
      <c r="B28" s="26" t="str">
        <f aca="false">IF(A28="","",COUNTIF($A$4:A28,A28))</f>
        <v/>
      </c>
      <c r="C28" s="26" t="str">
        <f aca="false">IF(A28="","",A28&amp;"|"&amp;B28)</f>
        <v/>
      </c>
      <c r="D28" s="25"/>
      <c r="E28" s="27"/>
      <c r="F28" s="27"/>
      <c r="G28" s="26"/>
      <c r="H28" s="27"/>
      <c r="I28" s="25"/>
    </row>
    <row r="29" customFormat="false" ht="25.5" hidden="false" customHeight="true" outlineLevel="0" collapsed="false">
      <c r="A29" s="28"/>
      <c r="B29" s="29" t="str">
        <f aca="false">IF(A29="","",COUNTIF($A$4:A29,A29))</f>
        <v/>
      </c>
      <c r="C29" s="29" t="str">
        <f aca="false">IF(A29="","",A29&amp;"|"&amp;B29)</f>
        <v/>
      </c>
      <c r="D29" s="28"/>
      <c r="E29" s="30"/>
      <c r="F29" s="30"/>
      <c r="G29" s="29"/>
      <c r="H29" s="30"/>
      <c r="I29" s="28"/>
    </row>
    <row r="30" customFormat="false" ht="25.5" hidden="false" customHeight="true" outlineLevel="0" collapsed="false">
      <c r="A30" s="25"/>
      <c r="B30" s="26" t="str">
        <f aca="false">IF(A30="","",COUNTIF($A$4:A30,A30))</f>
        <v/>
      </c>
      <c r="C30" s="26" t="str">
        <f aca="false">IF(A30="","",A30&amp;"|"&amp;B30)</f>
        <v/>
      </c>
      <c r="D30" s="25"/>
      <c r="E30" s="27"/>
      <c r="F30" s="27"/>
      <c r="G30" s="26"/>
      <c r="H30" s="27"/>
      <c r="I30" s="25"/>
    </row>
    <row r="31" customFormat="false" ht="25.5" hidden="false" customHeight="true" outlineLevel="0" collapsed="false">
      <c r="A31" s="28"/>
      <c r="B31" s="29" t="str">
        <f aca="false">IF(A31="","",COUNTIF($A$4:A31,A31))</f>
        <v/>
      </c>
      <c r="C31" s="29" t="str">
        <f aca="false">IF(A31="","",A31&amp;"|"&amp;B31)</f>
        <v/>
      </c>
      <c r="D31" s="28"/>
      <c r="E31" s="30"/>
      <c r="F31" s="30"/>
      <c r="G31" s="29"/>
      <c r="H31" s="30"/>
      <c r="I31" s="28"/>
    </row>
    <row r="32" customFormat="false" ht="25.5" hidden="false" customHeight="true" outlineLevel="0" collapsed="false">
      <c r="A32" s="25"/>
      <c r="B32" s="26" t="str">
        <f aca="false">IF(A32="","",COUNTIF($A$4:A32,A32))</f>
        <v/>
      </c>
      <c r="C32" s="26" t="str">
        <f aca="false">IF(A32="","",A32&amp;"|"&amp;B32)</f>
        <v/>
      </c>
      <c r="D32" s="25"/>
      <c r="E32" s="27"/>
      <c r="F32" s="27"/>
      <c r="G32" s="26"/>
      <c r="H32" s="27"/>
      <c r="I32" s="25"/>
    </row>
    <row r="33" customFormat="false" ht="25.5" hidden="false" customHeight="true" outlineLevel="0" collapsed="false">
      <c r="A33" s="28"/>
      <c r="B33" s="29" t="str">
        <f aca="false">IF(A33="","",COUNTIF($A$4:A33,A33))</f>
        <v/>
      </c>
      <c r="C33" s="29" t="str">
        <f aca="false">IF(A33="","",A33&amp;"|"&amp;B33)</f>
        <v/>
      </c>
      <c r="D33" s="28"/>
      <c r="E33" s="30"/>
      <c r="F33" s="30"/>
      <c r="G33" s="29"/>
      <c r="H33" s="30"/>
      <c r="I33" s="28"/>
    </row>
    <row r="34" customFormat="false" ht="25.5" hidden="false" customHeight="true" outlineLevel="0" collapsed="false">
      <c r="A34" s="25"/>
      <c r="B34" s="26" t="str">
        <f aca="false">IF(A34="","",COUNTIF($A$4:A34,A34))</f>
        <v/>
      </c>
      <c r="C34" s="26" t="str">
        <f aca="false">IF(A34="","",A34&amp;"|"&amp;B34)</f>
        <v/>
      </c>
      <c r="D34" s="25"/>
      <c r="E34" s="27"/>
      <c r="F34" s="27"/>
      <c r="G34" s="26"/>
      <c r="H34" s="27"/>
      <c r="I34" s="25"/>
    </row>
    <row r="35" customFormat="false" ht="25.5" hidden="false" customHeight="true" outlineLevel="0" collapsed="false">
      <c r="A35" s="28"/>
      <c r="B35" s="29" t="str">
        <f aca="false">IF(A35="","",COUNTIF($A$4:A35,A35))</f>
        <v/>
      </c>
      <c r="C35" s="29" t="str">
        <f aca="false">IF(A35="","",A35&amp;"|"&amp;B35)</f>
        <v/>
      </c>
      <c r="D35" s="28"/>
      <c r="E35" s="30"/>
      <c r="F35" s="30"/>
      <c r="G35" s="29"/>
      <c r="H35" s="30"/>
      <c r="I35" s="28"/>
    </row>
    <row r="36" customFormat="false" ht="25.5" hidden="false" customHeight="true" outlineLevel="0" collapsed="false">
      <c r="A36" s="25"/>
      <c r="B36" s="26" t="str">
        <f aca="false">IF(A36="","",COUNTIF($A$4:A36,A36))</f>
        <v/>
      </c>
      <c r="C36" s="26" t="str">
        <f aca="false">IF(A36="","",A36&amp;"|"&amp;B36)</f>
        <v/>
      </c>
      <c r="D36" s="25"/>
      <c r="E36" s="27"/>
      <c r="F36" s="27"/>
      <c r="G36" s="26"/>
      <c r="H36" s="27"/>
      <c r="I36" s="25"/>
    </row>
    <row r="37" customFormat="false" ht="25.5" hidden="false" customHeight="true" outlineLevel="0" collapsed="false">
      <c r="A37" s="28"/>
      <c r="B37" s="29" t="str">
        <f aca="false">IF(A37="","",COUNTIF($A$4:A37,A37))</f>
        <v/>
      </c>
      <c r="C37" s="29" t="str">
        <f aca="false">IF(A37="","",A37&amp;"|"&amp;B37)</f>
        <v/>
      </c>
      <c r="D37" s="28"/>
      <c r="E37" s="30"/>
      <c r="F37" s="30"/>
      <c r="G37" s="29"/>
      <c r="H37" s="30"/>
      <c r="I37" s="28"/>
    </row>
  </sheetData>
  <mergeCells count="2">
    <mergeCell ref="A1:I1"/>
    <mergeCell ref="A2:I2"/>
  </mergeCells>
  <conditionalFormatting sqref="G4:G37">
    <cfRule type="cellIs" priority="2" operator="equal" aboveAverage="0" equalAverage="0" bottom="0" percent="0" rank="0" text="" dxfId="1">
      <formula>"Under Review"</formula>
    </cfRule>
    <cfRule type="cellIs" priority="3" operator="equal" aboveAverage="0" equalAverage="0" bottom="0" percent="0" rank="0" text="" dxfId="4">
      <formula>"Revise &amp; Resubmit"</formula>
    </cfRule>
    <cfRule type="cellIs" priority="4" operator="equal" aboveAverage="0" equalAverage="0" bottom="0" percent="0" rank="0" text="" dxfId="7">
      <formula>"Accepted"</formula>
    </cfRule>
    <cfRule type="cellIs" priority="5" operator="equal" aboveAverage="0" equalAverage="0" bottom="0" percent="0" rank="0" text="" dxfId="3">
      <formula>"Rejected"</formula>
    </cfRule>
    <cfRule type="cellIs" priority="6" operator="equal" aboveAverage="0" equalAverage="0" bottom="0" percent="0" rank="0" text="" dxfId="0">
      <formula>"Withdrawn"</formula>
    </cfRule>
  </conditionalFormatting>
  <conditionalFormatting sqref="A4:A37">
    <cfRule type="expression" priority="7" aboveAverage="0" equalAverage="0" bottom="0" percent="0" rank="0" text="" dxfId="9">
      <formula>AND(A4&lt;&gt;"",COUNTIF($A$4:$A$37,A4)&gt;0,SUMPRODUCT(($C$4:$C$37=C4)*1)&gt;1,C4&lt;&gt;"")</formula>
    </cfRule>
  </conditionalFormatting>
  <dataValidations count="2">
    <dataValidation allowBlank="true" errorStyle="stop" operator="between" prompt="Start typing to search — pick the exact paper this submission belongs to." showDropDown="false" showErrorMessage="false" showInputMessage="false" sqref="A4:A37" type="list">
      <formula1>'📄 Papers Tracker'!$B$4:$B$33</formula1>
      <formula2>0</formula2>
    </dataValidation>
    <dataValidation allowBlank="true" errorStyle="stop" operator="between" showDropDown="false" showErrorMessage="false" showInputMessage="false" sqref="G4:G37" type="list">
      <formula1>"Under Review,Revise &amp; Resubmit,Accepted,Rejected,Withdrawn"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32"/>
    <col collapsed="false" customWidth="true" hidden="false" outlineLevel="0" max="3" min="3" style="1" width="15"/>
    <col collapsed="false" customWidth="true" hidden="false" outlineLevel="0" max="4" min="4" style="1" width="10"/>
    <col collapsed="false" customWidth="true" hidden="false" outlineLevel="0" max="5" min="5" style="1" width="14"/>
    <col collapsed="false" customWidth="true" hidden="false" outlineLevel="0" max="6" min="6" style="1" width="30"/>
    <col collapsed="false" customWidth="true" hidden="false" outlineLevel="0" max="7" min="7" style="1" width="13"/>
    <col collapsed="false" customWidth="true" hidden="false" outlineLevel="0" max="8" min="8" style="1" width="10"/>
    <col collapsed="false" customWidth="true" hidden="false" outlineLevel="0" max="9" min="9" style="1" width="11"/>
    <col collapsed="false" customWidth="true" hidden="false" outlineLevel="0" max="10" min="10" style="1" width="13"/>
    <col collapsed="false" customWidth="true" hidden="false" outlineLevel="0" max="11" min="11" style="1" width="26"/>
  </cols>
  <sheetData>
    <row r="1" customFormat="false" ht="33.75" hidden="false" customHeight="true" outlineLevel="0" collapsed="false">
      <c r="A1" s="2" t="s">
        <v>144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customFormat="false" ht="18" hidden="false" customHeight="true" outlineLevel="0" collapsed="false">
      <c r="A2" s="3" t="s">
        <v>145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customFormat="false" ht="31.5" hidden="false" customHeight="true" outlineLevel="0" collapsed="false">
      <c r="A3" s="15" t="s">
        <v>146</v>
      </c>
      <c r="B3" s="15" t="s">
        <v>147</v>
      </c>
      <c r="C3" s="15" t="s">
        <v>148</v>
      </c>
      <c r="D3" s="15" t="s">
        <v>38</v>
      </c>
      <c r="E3" s="15" t="s">
        <v>37</v>
      </c>
      <c r="F3" s="15" t="s">
        <v>149</v>
      </c>
      <c r="G3" s="15" t="s">
        <v>43</v>
      </c>
      <c r="H3" s="15" t="s">
        <v>150</v>
      </c>
      <c r="I3" s="15" t="s">
        <v>151</v>
      </c>
      <c r="J3" s="15" t="s">
        <v>50</v>
      </c>
      <c r="K3" s="15" t="s">
        <v>52</v>
      </c>
    </row>
    <row r="4" customFormat="false" ht="30" hidden="false" customHeight="true" outlineLevel="0" collapsed="false">
      <c r="A4" s="31" t="s">
        <v>152</v>
      </c>
      <c r="B4" s="31" t="s">
        <v>153</v>
      </c>
      <c r="C4" s="32" t="s">
        <v>18</v>
      </c>
      <c r="D4" s="32" t="s">
        <v>154</v>
      </c>
      <c r="E4" s="32" t="s">
        <v>155</v>
      </c>
      <c r="F4" s="31" t="s">
        <v>54</v>
      </c>
      <c r="G4" s="33" t="n">
        <v>46256</v>
      </c>
      <c r="H4" s="32" t="n">
        <v>6</v>
      </c>
      <c r="I4" s="32" t="n">
        <v>40</v>
      </c>
      <c r="J4" s="33" t="n">
        <v>46244</v>
      </c>
      <c r="K4" s="31" t="s">
        <v>156</v>
      </c>
    </row>
    <row r="5" customFormat="false" ht="25.5" hidden="false" customHeight="true" outlineLevel="0" collapsed="false">
      <c r="A5" s="16"/>
      <c r="B5" s="16"/>
      <c r="C5" s="17"/>
      <c r="D5" s="23"/>
      <c r="E5" s="23"/>
      <c r="F5" s="16"/>
      <c r="G5" s="23"/>
      <c r="H5" s="17"/>
      <c r="I5" s="23"/>
      <c r="J5" s="17"/>
      <c r="K5" s="16"/>
    </row>
    <row r="6" customFormat="false" ht="25.5" hidden="false" customHeight="true" outlineLevel="0" collapsed="false">
      <c r="A6" s="20"/>
      <c r="B6" s="20"/>
      <c r="C6" s="21"/>
      <c r="D6" s="21"/>
      <c r="E6" s="21"/>
      <c r="F6" s="20"/>
      <c r="G6" s="21"/>
      <c r="H6" s="21"/>
      <c r="I6" s="21"/>
      <c r="J6" s="21"/>
      <c r="K6" s="20"/>
    </row>
    <row r="7" customFormat="false" ht="25.5" hidden="false" customHeight="true" outlineLevel="0" collapsed="false">
      <c r="A7" s="16"/>
      <c r="B7" s="16"/>
      <c r="C7" s="17"/>
      <c r="D7" s="23"/>
      <c r="E7" s="23"/>
      <c r="F7" s="16"/>
      <c r="G7" s="23"/>
      <c r="H7" s="17"/>
      <c r="I7" s="23"/>
      <c r="J7" s="17"/>
      <c r="K7" s="16"/>
    </row>
    <row r="8" customFormat="false" ht="25.5" hidden="false" customHeight="true" outlineLevel="0" collapsed="false">
      <c r="A8" s="20"/>
      <c r="B8" s="20"/>
      <c r="C8" s="21"/>
      <c r="D8" s="21"/>
      <c r="E8" s="21"/>
      <c r="F8" s="20"/>
      <c r="G8" s="21"/>
      <c r="H8" s="21"/>
      <c r="I8" s="21"/>
      <c r="J8" s="21"/>
      <c r="K8" s="20"/>
    </row>
    <row r="9" customFormat="false" ht="25.5" hidden="false" customHeight="true" outlineLevel="0" collapsed="false">
      <c r="A9" s="16"/>
      <c r="B9" s="16"/>
      <c r="C9" s="17"/>
      <c r="D9" s="23"/>
      <c r="E9" s="23"/>
      <c r="F9" s="16"/>
      <c r="G9" s="23"/>
      <c r="H9" s="17"/>
      <c r="I9" s="23"/>
      <c r="J9" s="17"/>
      <c r="K9" s="16"/>
    </row>
    <row r="10" customFormat="false" ht="25.5" hidden="false" customHeight="true" outlineLevel="0" collapsed="false">
      <c r="A10" s="20"/>
      <c r="B10" s="20"/>
      <c r="C10" s="21"/>
      <c r="D10" s="21"/>
      <c r="E10" s="21"/>
      <c r="F10" s="20"/>
      <c r="G10" s="21"/>
      <c r="H10" s="21"/>
      <c r="I10" s="21"/>
      <c r="J10" s="21"/>
      <c r="K10" s="20"/>
    </row>
    <row r="11" customFormat="false" ht="25.5" hidden="false" customHeight="true" outlineLevel="0" collapsed="false">
      <c r="A11" s="16"/>
      <c r="B11" s="16"/>
      <c r="C11" s="17"/>
      <c r="D11" s="23"/>
      <c r="E11" s="23"/>
      <c r="F11" s="16"/>
      <c r="G11" s="23"/>
      <c r="H11" s="17"/>
      <c r="I11" s="23"/>
      <c r="J11" s="17"/>
      <c r="K11" s="16"/>
    </row>
    <row r="12" customFormat="false" ht="25.5" hidden="false" customHeight="true" outlineLevel="0" collapsed="false">
      <c r="A12" s="20"/>
      <c r="B12" s="20"/>
      <c r="C12" s="21"/>
      <c r="D12" s="21"/>
      <c r="E12" s="21"/>
      <c r="F12" s="20"/>
      <c r="G12" s="21"/>
      <c r="H12" s="21"/>
      <c r="I12" s="21"/>
      <c r="J12" s="21"/>
      <c r="K12" s="20"/>
    </row>
    <row r="13" customFormat="false" ht="25.5" hidden="false" customHeight="true" outlineLevel="0" collapsed="false">
      <c r="A13" s="16"/>
      <c r="B13" s="16"/>
      <c r="C13" s="17"/>
      <c r="D13" s="23"/>
      <c r="E13" s="23"/>
      <c r="F13" s="16"/>
      <c r="G13" s="23"/>
      <c r="H13" s="17"/>
      <c r="I13" s="23"/>
      <c r="J13" s="17"/>
      <c r="K13" s="16"/>
    </row>
    <row r="14" customFormat="false" ht="25.5" hidden="false" customHeight="true" outlineLevel="0" collapsed="false">
      <c r="A14" s="20"/>
      <c r="B14" s="20"/>
      <c r="C14" s="21"/>
      <c r="D14" s="21"/>
      <c r="E14" s="21"/>
      <c r="F14" s="20"/>
      <c r="G14" s="21"/>
      <c r="H14" s="21"/>
      <c r="I14" s="21"/>
      <c r="J14" s="21"/>
      <c r="K14" s="20"/>
    </row>
    <row r="15" customFormat="false" ht="25.5" hidden="false" customHeight="true" outlineLevel="0" collapsed="false">
      <c r="A15" s="16"/>
      <c r="B15" s="16"/>
      <c r="C15" s="17"/>
      <c r="D15" s="23"/>
      <c r="E15" s="23"/>
      <c r="F15" s="16"/>
      <c r="G15" s="23"/>
      <c r="H15" s="17"/>
      <c r="I15" s="23"/>
      <c r="J15" s="17"/>
      <c r="K15" s="16"/>
    </row>
    <row r="16" customFormat="false" ht="25.5" hidden="false" customHeight="true" outlineLevel="0" collapsed="false">
      <c r="A16" s="20"/>
      <c r="B16" s="20"/>
      <c r="C16" s="21"/>
      <c r="D16" s="21"/>
      <c r="E16" s="21"/>
      <c r="F16" s="20"/>
      <c r="G16" s="21"/>
      <c r="H16" s="21"/>
      <c r="I16" s="21"/>
      <c r="J16" s="21"/>
      <c r="K16" s="20"/>
    </row>
    <row r="17" customFormat="false" ht="25.5" hidden="false" customHeight="true" outlineLevel="0" collapsed="false">
      <c r="A17" s="16"/>
      <c r="B17" s="16"/>
      <c r="C17" s="17"/>
      <c r="D17" s="23"/>
      <c r="E17" s="23"/>
      <c r="F17" s="16"/>
      <c r="G17" s="23"/>
      <c r="H17" s="17"/>
      <c r="I17" s="23"/>
      <c r="J17" s="17"/>
      <c r="K17" s="16"/>
    </row>
    <row r="18" customFormat="false" ht="25.5" hidden="false" customHeight="true" outlineLevel="0" collapsed="false">
      <c r="A18" s="20"/>
      <c r="B18" s="20"/>
      <c r="C18" s="21"/>
      <c r="D18" s="21"/>
      <c r="E18" s="21"/>
      <c r="F18" s="20"/>
      <c r="G18" s="21"/>
      <c r="H18" s="21"/>
      <c r="I18" s="21"/>
      <c r="J18" s="21"/>
      <c r="K18" s="20"/>
    </row>
    <row r="19" customFormat="false" ht="25.5" hidden="false" customHeight="true" outlineLevel="0" collapsed="false">
      <c r="A19" s="16"/>
      <c r="B19" s="16"/>
      <c r="C19" s="17"/>
      <c r="D19" s="23"/>
      <c r="E19" s="23"/>
      <c r="F19" s="16"/>
      <c r="G19" s="23"/>
      <c r="H19" s="17"/>
      <c r="I19" s="23"/>
      <c r="J19" s="17"/>
      <c r="K19" s="16"/>
    </row>
    <row r="20" customFormat="false" ht="25.5" hidden="false" customHeight="true" outlineLevel="0" collapsed="false">
      <c r="A20" s="20"/>
      <c r="B20" s="20"/>
      <c r="C20" s="21"/>
      <c r="D20" s="21"/>
      <c r="E20" s="21"/>
      <c r="F20" s="20"/>
      <c r="G20" s="21"/>
      <c r="H20" s="21"/>
      <c r="I20" s="21"/>
      <c r="J20" s="21"/>
      <c r="K20" s="20"/>
    </row>
    <row r="21" customFormat="false" ht="25.5" hidden="false" customHeight="true" outlineLevel="0" collapsed="false">
      <c r="A21" s="16"/>
      <c r="B21" s="16"/>
      <c r="C21" s="17"/>
      <c r="D21" s="23"/>
      <c r="E21" s="23"/>
      <c r="F21" s="16"/>
      <c r="G21" s="23"/>
      <c r="H21" s="17"/>
      <c r="I21" s="23"/>
      <c r="J21" s="17"/>
      <c r="K21" s="16"/>
    </row>
    <row r="22" customFormat="false" ht="25.5" hidden="false" customHeight="true" outlineLevel="0" collapsed="false">
      <c r="A22" s="20"/>
      <c r="B22" s="20"/>
      <c r="C22" s="21"/>
      <c r="D22" s="21"/>
      <c r="E22" s="21"/>
      <c r="F22" s="20"/>
      <c r="G22" s="21"/>
      <c r="H22" s="21"/>
      <c r="I22" s="21"/>
      <c r="J22" s="21"/>
      <c r="K22" s="20"/>
    </row>
    <row r="23" customFormat="false" ht="25.5" hidden="false" customHeight="true" outlineLevel="0" collapsed="false">
      <c r="A23" s="16"/>
      <c r="B23" s="16"/>
      <c r="C23" s="17"/>
      <c r="D23" s="23"/>
      <c r="E23" s="23"/>
      <c r="F23" s="16"/>
      <c r="G23" s="23"/>
      <c r="H23" s="17"/>
      <c r="I23" s="23"/>
      <c r="J23" s="17"/>
      <c r="K23" s="16"/>
    </row>
    <row r="24" customFormat="false" ht="25.5" hidden="false" customHeight="true" outlineLevel="0" collapsed="false">
      <c r="A24" s="20"/>
      <c r="B24" s="20"/>
      <c r="C24" s="21"/>
      <c r="D24" s="21"/>
      <c r="E24" s="21"/>
      <c r="F24" s="20"/>
      <c r="G24" s="21"/>
      <c r="H24" s="21"/>
      <c r="I24" s="21"/>
      <c r="J24" s="21"/>
      <c r="K24" s="20"/>
    </row>
    <row r="25" customFormat="false" ht="25.5" hidden="false" customHeight="true" outlineLevel="0" collapsed="false">
      <c r="A25" s="16"/>
      <c r="B25" s="16"/>
      <c r="C25" s="17"/>
      <c r="D25" s="23"/>
      <c r="E25" s="23"/>
      <c r="F25" s="16"/>
      <c r="G25" s="23"/>
      <c r="H25" s="17"/>
      <c r="I25" s="23"/>
      <c r="J25" s="17"/>
      <c r="K25" s="16"/>
    </row>
    <row r="26" customFormat="false" ht="25.5" hidden="false" customHeight="true" outlineLevel="0" collapsed="false">
      <c r="A26" s="20"/>
      <c r="B26" s="20"/>
      <c r="C26" s="21"/>
      <c r="D26" s="21"/>
      <c r="E26" s="21"/>
      <c r="F26" s="20"/>
      <c r="G26" s="21"/>
      <c r="H26" s="21"/>
      <c r="I26" s="21"/>
      <c r="J26" s="21"/>
      <c r="K26" s="20"/>
    </row>
    <row r="27" customFormat="false" ht="25.5" hidden="false" customHeight="true" outlineLevel="0" collapsed="false">
      <c r="A27" s="16"/>
      <c r="B27" s="16"/>
      <c r="C27" s="17"/>
      <c r="D27" s="23"/>
      <c r="E27" s="23"/>
      <c r="F27" s="16"/>
      <c r="G27" s="23"/>
      <c r="H27" s="17"/>
      <c r="I27" s="23"/>
      <c r="J27" s="17"/>
      <c r="K27" s="16"/>
    </row>
    <row r="28" customFormat="false" ht="25.5" hidden="false" customHeight="true" outlineLevel="0" collapsed="false">
      <c r="A28" s="20"/>
      <c r="B28" s="20"/>
      <c r="C28" s="21"/>
      <c r="D28" s="21"/>
      <c r="E28" s="21"/>
      <c r="F28" s="20"/>
      <c r="G28" s="21"/>
      <c r="H28" s="21"/>
      <c r="I28" s="21"/>
      <c r="J28" s="21"/>
      <c r="K28" s="20"/>
    </row>
    <row r="29" customFormat="false" ht="25.5" hidden="false" customHeight="true" outlineLevel="0" collapsed="false">
      <c r="A29" s="16"/>
      <c r="B29" s="16"/>
      <c r="C29" s="17"/>
      <c r="D29" s="23"/>
      <c r="E29" s="23"/>
      <c r="F29" s="16"/>
      <c r="G29" s="23"/>
      <c r="H29" s="17"/>
      <c r="I29" s="23"/>
      <c r="J29" s="17"/>
      <c r="K29" s="16"/>
    </row>
  </sheetData>
  <mergeCells count="2">
    <mergeCell ref="A1:K1"/>
    <mergeCell ref="A2:K2"/>
  </mergeCells>
  <conditionalFormatting sqref="E4:E29">
    <cfRule type="cellIs" priority="2" operator="equal" aboveAverage="0" equalAverage="0" bottom="0" percent="0" rank="0" text="" dxfId="0">
      <formula>"Not Started"</formula>
    </cfRule>
    <cfRule type="cellIs" priority="3" operator="equal" aboveAverage="0" equalAverage="0" bottom="0" percent="0" rank="0" text="" dxfId="1">
      <formula>"In Progress"</formula>
    </cfRule>
    <cfRule type="cellIs" priority="4" operator="equal" aboveAverage="0" equalAverage="0" bottom="0" percent="0" rank="0" text="" dxfId="3">
      <formula>"Blocked"</formula>
    </cfRule>
    <cfRule type="cellIs" priority="5" operator="equal" aboveAverage="0" equalAverage="0" bottom="0" percent="0" rank="0" text="" dxfId="2">
      <formula>"In Review"</formula>
    </cfRule>
    <cfRule type="cellIs" priority="6" operator="equal" aboveAverage="0" equalAverage="0" bottom="0" percent="0" rank="0" text="" dxfId="7">
      <formula>"Done"</formula>
    </cfRule>
  </conditionalFormatting>
  <conditionalFormatting sqref="D4:D29">
    <cfRule type="cellIs" priority="7" operator="equal" aboveAverage="0" equalAverage="0" bottom="0" percent="0" rank="0" text="" dxfId="3">
      <formula>"High"</formula>
    </cfRule>
    <cfRule type="cellIs" priority="8" operator="equal" aboveAverage="0" equalAverage="0" bottom="0" percent="0" rank="0" text="" dxfId="4">
      <formula>"Medium"</formula>
    </cfRule>
    <cfRule type="cellIs" priority="9" operator="equal" aboveAverage="0" equalAverage="0" bottom="0" percent="0" rank="0" text="" dxfId="0">
      <formula>"Low"</formula>
    </cfRule>
  </conditionalFormatting>
  <conditionalFormatting sqref="I4:I29">
    <cfRule type="dataBar" priority="10">
      <dataBar showValue="1" minLength="10" maxLength="90">
        <cfvo type="num" val="0"/>
        <cfvo type="num" val="100"/>
        <color rgb="FF2563EB"/>
      </dataBar>
      <extLst>
        <ext xmlns:x14="http://schemas.microsoft.com/office/spreadsheetml/2009/9/main" uri="{B025F937-C7B1-47D3-B67F-A62EFF666E3E}">
          <x14:id>{2265409F-FEB4-4912-97F8-1666CA17D151}</x14:id>
        </ext>
      </extLst>
    </cfRule>
  </conditionalFormatting>
  <conditionalFormatting sqref="G4:G29">
    <cfRule type="expression" priority="11" aboveAverage="0" equalAverage="0" bottom="0" percent="0" rank="0" text="" dxfId="3">
      <formula>AND(G4&lt;&gt;"",G4&lt;TODAY(),E4&lt;&gt;"Done")</formula>
    </cfRule>
  </conditionalFormatting>
  <dataValidations count="4">
    <dataValidation allowBlank="true" errorStyle="stop" operator="between" showDropDown="false" showErrorMessage="false" showInputMessage="false" sqref="I4:I29" type="whole">
      <formula1>0</formula1>
      <formula2>100</formula2>
    </dataValidation>
    <dataValidation allowBlank="true" errorStyle="stop" operator="between" showDropDown="false" showErrorMessage="false" showInputMessage="false" sqref="E4:E29" type="list">
      <formula1>"Not Started,In Progress,Blocked,In Review,Done"</formula1>
      <formula2>0</formula2>
    </dataValidation>
    <dataValidation allowBlank="true" errorStyle="stop" operator="between" showDropDown="false" showErrorMessage="false" showInputMessage="false" sqref="D4:D29" type="list">
      <formula1>"High,Medium,Low"</formula1>
      <formula2>0</formula2>
    </dataValidation>
    <dataValidation allowBlank="true" errorStyle="stop" operator="between" prompt="Start typing to search for the paper this task belongs to." showDropDown="false" showErrorMessage="false" showInputMessage="false" sqref="F4:F29" type="list">
      <formula1>'📄 Papers Tracker'!$B$4:$B$33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265409F-FEB4-4912-97F8-1666CA17D151}">
            <x14:dataBar minLength="10" maxLength="90" axisPosition="none" gradient="true">
              <x14:cfvo type="num">
                <xm:f>0</xm:f>
              </x14:cfvo>
              <x14:cfvo type="num">
                <xm:f>100</xm:f>
              </x14:cfvo>
              <x14:negativeFillColor rgb="FF2563EB"/>
              <x14:axisColor rgb="FF000000"/>
            </x14:dataBar>
          </x14:cfRule>
          <xm:sqref>I4:I29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22"/>
    <col collapsed="false" customWidth="true" hidden="false" outlineLevel="0" max="3" min="3" style="1" width="26"/>
    <col collapsed="false" customWidth="true" hidden="false" outlineLevel="0" max="4" min="4" style="1" width="16"/>
    <col collapsed="false" customWidth="true" hidden="false" outlineLevel="0" max="5" min="5" style="1" width="22"/>
    <col collapsed="false" customWidth="true" hidden="false" outlineLevel="0" max="6" min="6" style="1" width="16"/>
  </cols>
  <sheetData>
    <row r="1" customFormat="false" ht="33.75" hidden="false" customHeight="true" outlineLevel="0" collapsed="false">
      <c r="A1" s="2" t="s">
        <v>157</v>
      </c>
      <c r="B1" s="2"/>
      <c r="C1" s="2"/>
      <c r="D1" s="2"/>
      <c r="E1" s="2"/>
      <c r="F1" s="2"/>
    </row>
    <row r="2" customFormat="false" ht="18" hidden="false" customHeight="true" outlineLevel="0" collapsed="false">
      <c r="A2" s="3" t="s">
        <v>158</v>
      </c>
      <c r="B2" s="3"/>
      <c r="C2" s="3"/>
      <c r="D2" s="3"/>
      <c r="E2" s="3"/>
      <c r="F2" s="3"/>
    </row>
    <row r="3" customFormat="false" ht="31.5" hidden="false" customHeight="true" outlineLevel="0" collapsed="false">
      <c r="A3" s="15" t="s">
        <v>159</v>
      </c>
      <c r="B3" s="15" t="s">
        <v>160</v>
      </c>
      <c r="C3" s="15" t="s">
        <v>161</v>
      </c>
      <c r="D3" s="15" t="s">
        <v>162</v>
      </c>
      <c r="E3" s="15" t="s">
        <v>163</v>
      </c>
      <c r="F3" s="15" t="s">
        <v>164</v>
      </c>
    </row>
    <row r="4" customFormat="false" ht="25.5" hidden="false" customHeight="true" outlineLevel="0" collapsed="false">
      <c r="A4" s="16" t="s">
        <v>18</v>
      </c>
      <c r="B4" s="16" t="s">
        <v>165</v>
      </c>
      <c r="C4" s="16" t="s">
        <v>166</v>
      </c>
      <c r="D4" s="16" t="n">
        <f aca="false">COUNTIF('📄 Papers Tracker'!$M$4:$M$33,A4)</f>
        <v>3</v>
      </c>
      <c r="E4" s="34"/>
      <c r="F4" s="34"/>
    </row>
    <row r="5" customFormat="false" ht="25.5" hidden="false" customHeight="true" outlineLevel="0" collapsed="false">
      <c r="A5" s="16" t="s">
        <v>167</v>
      </c>
      <c r="B5" s="16" t="s">
        <v>168</v>
      </c>
      <c r="C5" s="16" t="s">
        <v>169</v>
      </c>
      <c r="D5" s="16" t="n">
        <f aca="false">COUNTIF('📄 Papers Tracker'!$M$4:$M$33,A5)</f>
        <v>0</v>
      </c>
      <c r="E5" s="34"/>
      <c r="F5" s="34"/>
    </row>
    <row r="6" customFormat="false" ht="25.5" hidden="false" customHeight="true" outlineLevel="0" collapsed="false">
      <c r="A6" s="16" t="s">
        <v>21</v>
      </c>
      <c r="B6" s="16" t="s">
        <v>170</v>
      </c>
      <c r="C6" s="34"/>
      <c r="D6" s="16" t="n">
        <f aca="false">COUNTIF('📄 Papers Tracker'!$M$4:$M$33,A6)</f>
        <v>1</v>
      </c>
      <c r="E6" s="34"/>
      <c r="F6" s="34"/>
    </row>
    <row r="7" customFormat="false" ht="25.5" hidden="false" customHeight="true" outlineLevel="0" collapsed="false">
      <c r="A7" s="16" t="s">
        <v>24</v>
      </c>
      <c r="B7" s="16" t="s">
        <v>170</v>
      </c>
      <c r="C7" s="34"/>
      <c r="D7" s="16" t="n">
        <f aca="false">COUNTIF('📄 Papers Tracker'!$M$4:$M$33,A7)</f>
        <v>1</v>
      </c>
      <c r="E7" s="34"/>
      <c r="F7" s="34"/>
    </row>
    <row r="9" customFormat="false" ht="15" hidden="false" customHeight="false" outlineLevel="0" collapsed="false">
      <c r="A9" s="35" t="s">
        <v>171</v>
      </c>
      <c r="B9" s="35"/>
      <c r="C9" s="35"/>
      <c r="D9" s="35"/>
      <c r="E9" s="35"/>
      <c r="F9" s="35"/>
    </row>
  </sheetData>
  <mergeCells count="3">
    <mergeCell ref="A1:F1"/>
    <mergeCell ref="A2:F2"/>
    <mergeCell ref="A9:F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6"/>
    <col collapsed="false" customWidth="true" hidden="false" outlineLevel="0" max="4" min="3" style="1" width="30"/>
    <col collapsed="false" customWidth="true" hidden="false" outlineLevel="0" max="6" min="5" style="1" width="24"/>
    <col collapsed="false" customWidth="true" hidden="false" outlineLevel="0" max="7" min="7" style="1" width="30"/>
  </cols>
  <sheetData>
    <row r="1" customFormat="false" ht="33.75" hidden="false" customHeight="true" outlineLevel="0" collapsed="false">
      <c r="A1" s="2" t="s">
        <v>172</v>
      </c>
      <c r="B1" s="2"/>
      <c r="C1" s="2"/>
      <c r="D1" s="2"/>
      <c r="E1" s="2"/>
      <c r="F1" s="2"/>
      <c r="G1" s="2"/>
    </row>
    <row r="2" customFormat="false" ht="18" hidden="false" customHeight="true" outlineLevel="0" collapsed="false">
      <c r="A2" s="3" t="s">
        <v>173</v>
      </c>
      <c r="B2" s="3"/>
      <c r="C2" s="3"/>
      <c r="D2" s="3"/>
      <c r="E2" s="3"/>
      <c r="F2" s="3"/>
      <c r="G2" s="3"/>
    </row>
    <row r="3" customFormat="false" ht="31.5" hidden="false" customHeight="true" outlineLevel="0" collapsed="false">
      <c r="A3" s="15" t="s">
        <v>174</v>
      </c>
      <c r="B3" s="15" t="s">
        <v>159</v>
      </c>
      <c r="C3" s="15" t="s">
        <v>175</v>
      </c>
      <c r="D3" s="15" t="s">
        <v>176</v>
      </c>
      <c r="E3" s="15" t="s">
        <v>177</v>
      </c>
      <c r="F3" s="15" t="s">
        <v>178</v>
      </c>
      <c r="G3" s="15" t="s">
        <v>179</v>
      </c>
    </row>
    <row r="4" customFormat="false" ht="33.75" hidden="false" customHeight="true" outlineLevel="0" collapsed="false">
      <c r="A4" s="33" t="n">
        <v>46244</v>
      </c>
      <c r="B4" s="31" t="s">
        <v>18</v>
      </c>
      <c r="C4" s="31" t="s">
        <v>180</v>
      </c>
      <c r="D4" s="31" t="s">
        <v>181</v>
      </c>
      <c r="E4" s="31" t="s">
        <v>182</v>
      </c>
      <c r="F4" s="31" t="s">
        <v>183</v>
      </c>
      <c r="G4" s="31" t="s">
        <v>184</v>
      </c>
    </row>
    <row r="5" customFormat="false" ht="25.5" hidden="false" customHeight="true" outlineLevel="0" collapsed="false">
      <c r="A5" s="29"/>
      <c r="B5" s="28"/>
      <c r="C5" s="28"/>
      <c r="D5" s="28"/>
      <c r="E5" s="28"/>
      <c r="F5" s="28"/>
      <c r="G5" s="28"/>
    </row>
    <row r="6" customFormat="false" ht="25.5" hidden="false" customHeight="true" outlineLevel="0" collapsed="false">
      <c r="A6" s="26"/>
      <c r="B6" s="25"/>
      <c r="C6" s="25"/>
      <c r="D6" s="25"/>
      <c r="E6" s="25"/>
      <c r="F6" s="25"/>
      <c r="G6" s="25"/>
    </row>
    <row r="7" customFormat="false" ht="25.5" hidden="false" customHeight="true" outlineLevel="0" collapsed="false">
      <c r="A7" s="29"/>
      <c r="B7" s="28"/>
      <c r="C7" s="28"/>
      <c r="D7" s="28"/>
      <c r="E7" s="28"/>
      <c r="F7" s="28"/>
      <c r="G7" s="28"/>
    </row>
    <row r="8" customFormat="false" ht="25.5" hidden="false" customHeight="true" outlineLevel="0" collapsed="false">
      <c r="A8" s="26"/>
      <c r="B8" s="25"/>
      <c r="C8" s="25"/>
      <c r="D8" s="25"/>
      <c r="E8" s="25"/>
      <c r="F8" s="25"/>
      <c r="G8" s="25"/>
    </row>
    <row r="9" customFormat="false" ht="25.5" hidden="false" customHeight="true" outlineLevel="0" collapsed="false">
      <c r="A9" s="29"/>
      <c r="B9" s="28"/>
      <c r="C9" s="28"/>
      <c r="D9" s="28"/>
      <c r="E9" s="28"/>
      <c r="F9" s="28"/>
      <c r="G9" s="28"/>
    </row>
    <row r="10" customFormat="false" ht="25.5" hidden="false" customHeight="true" outlineLevel="0" collapsed="false">
      <c r="A10" s="26"/>
      <c r="B10" s="25"/>
      <c r="C10" s="25"/>
      <c r="D10" s="25"/>
      <c r="E10" s="25"/>
      <c r="F10" s="25"/>
      <c r="G10" s="25"/>
    </row>
    <row r="11" customFormat="false" ht="25.5" hidden="false" customHeight="true" outlineLevel="0" collapsed="false">
      <c r="A11" s="29"/>
      <c r="B11" s="28"/>
      <c r="C11" s="28"/>
      <c r="D11" s="28"/>
      <c r="E11" s="28"/>
      <c r="F11" s="28"/>
      <c r="G11" s="28"/>
    </row>
    <row r="12" customFormat="false" ht="25.5" hidden="false" customHeight="true" outlineLevel="0" collapsed="false">
      <c r="A12" s="26"/>
      <c r="B12" s="25"/>
      <c r="C12" s="25"/>
      <c r="D12" s="25"/>
      <c r="E12" s="25"/>
      <c r="F12" s="25"/>
      <c r="G12" s="25"/>
    </row>
    <row r="13" customFormat="false" ht="25.5" hidden="false" customHeight="true" outlineLevel="0" collapsed="false">
      <c r="A13" s="29"/>
      <c r="B13" s="28"/>
      <c r="C13" s="28"/>
      <c r="D13" s="28"/>
      <c r="E13" s="28"/>
      <c r="F13" s="28"/>
      <c r="G13" s="28"/>
    </row>
    <row r="14" customFormat="false" ht="25.5" hidden="false" customHeight="true" outlineLevel="0" collapsed="false">
      <c r="A14" s="26"/>
      <c r="B14" s="25"/>
      <c r="C14" s="25"/>
      <c r="D14" s="25"/>
      <c r="E14" s="25"/>
      <c r="F14" s="25"/>
      <c r="G14" s="25"/>
    </row>
    <row r="15" customFormat="false" ht="25.5" hidden="false" customHeight="true" outlineLevel="0" collapsed="false">
      <c r="A15" s="29"/>
      <c r="B15" s="28"/>
      <c r="C15" s="28"/>
      <c r="D15" s="28"/>
      <c r="E15" s="28"/>
      <c r="F15" s="28"/>
      <c r="G15" s="28"/>
    </row>
    <row r="16" customFormat="false" ht="25.5" hidden="false" customHeight="true" outlineLevel="0" collapsed="false">
      <c r="A16" s="26"/>
      <c r="B16" s="25"/>
      <c r="C16" s="25"/>
      <c r="D16" s="25"/>
      <c r="E16" s="25"/>
      <c r="F16" s="25"/>
      <c r="G16" s="25"/>
    </row>
    <row r="17" customFormat="false" ht="25.5" hidden="false" customHeight="true" outlineLevel="0" collapsed="false">
      <c r="A17" s="29"/>
      <c r="B17" s="28"/>
      <c r="C17" s="28"/>
      <c r="D17" s="28"/>
      <c r="E17" s="28"/>
      <c r="F17" s="28"/>
      <c r="G17" s="28"/>
    </row>
    <row r="18" customFormat="false" ht="25.5" hidden="false" customHeight="true" outlineLevel="0" collapsed="false">
      <c r="A18" s="26"/>
      <c r="B18" s="25"/>
      <c r="C18" s="25"/>
      <c r="D18" s="25"/>
      <c r="E18" s="25"/>
      <c r="F18" s="25"/>
      <c r="G18" s="25"/>
    </row>
    <row r="19" customFormat="false" ht="25.5" hidden="false" customHeight="true" outlineLevel="0" collapsed="false">
      <c r="A19" s="29"/>
      <c r="B19" s="28"/>
      <c r="C19" s="28"/>
      <c r="D19" s="28"/>
      <c r="E19" s="28"/>
      <c r="F19" s="28"/>
      <c r="G19" s="28"/>
    </row>
    <row r="20" customFormat="false" ht="25.5" hidden="false" customHeight="true" outlineLevel="0" collapsed="false">
      <c r="A20" s="26"/>
      <c r="B20" s="25"/>
      <c r="C20" s="25"/>
      <c r="D20" s="25"/>
      <c r="E20" s="25"/>
      <c r="F20" s="25"/>
      <c r="G20" s="25"/>
    </row>
    <row r="21" customFormat="false" ht="25.5" hidden="false" customHeight="true" outlineLevel="0" collapsed="false">
      <c r="A21" s="29"/>
      <c r="B21" s="28"/>
      <c r="C21" s="28"/>
      <c r="D21" s="28"/>
      <c r="E21" s="28"/>
      <c r="F21" s="28"/>
      <c r="G21" s="28"/>
    </row>
    <row r="22" customFormat="false" ht="25.5" hidden="false" customHeight="true" outlineLevel="0" collapsed="false">
      <c r="A22" s="26"/>
      <c r="B22" s="25"/>
      <c r="C22" s="25"/>
      <c r="D22" s="25"/>
      <c r="E22" s="25"/>
      <c r="F22" s="25"/>
      <c r="G22" s="25"/>
    </row>
    <row r="23" customFormat="false" ht="25.5" hidden="false" customHeight="true" outlineLevel="0" collapsed="false">
      <c r="A23" s="29"/>
      <c r="B23" s="28"/>
      <c r="C23" s="28"/>
      <c r="D23" s="28"/>
      <c r="E23" s="28"/>
      <c r="F23" s="28"/>
      <c r="G23" s="28"/>
    </row>
    <row r="24" customFormat="false" ht="25.5" hidden="false" customHeight="true" outlineLevel="0" collapsed="false">
      <c r="A24" s="26"/>
      <c r="B24" s="25"/>
      <c r="C24" s="25"/>
      <c r="D24" s="25"/>
      <c r="E24" s="25"/>
      <c r="F24" s="25"/>
      <c r="G24" s="25"/>
    </row>
    <row r="25" customFormat="false" ht="25.5" hidden="false" customHeight="true" outlineLevel="0" collapsed="false">
      <c r="A25" s="29"/>
      <c r="B25" s="28"/>
      <c r="C25" s="28"/>
      <c r="D25" s="28"/>
      <c r="E25" s="28"/>
      <c r="F25" s="28"/>
      <c r="G25" s="28"/>
    </row>
    <row r="26" customFormat="false" ht="25.5" hidden="false" customHeight="true" outlineLevel="0" collapsed="false">
      <c r="A26" s="26"/>
      <c r="B26" s="25"/>
      <c r="C26" s="25"/>
      <c r="D26" s="25"/>
      <c r="E26" s="25"/>
      <c r="F26" s="25"/>
      <c r="G26" s="25"/>
    </row>
    <row r="27" customFormat="false" ht="25.5" hidden="false" customHeight="true" outlineLevel="0" collapsed="false">
      <c r="A27" s="29"/>
      <c r="B27" s="28"/>
      <c r="C27" s="28"/>
      <c r="D27" s="28"/>
      <c r="E27" s="28"/>
      <c r="F27" s="28"/>
      <c r="G27" s="28"/>
    </row>
    <row r="28" customFormat="false" ht="25.5" hidden="false" customHeight="true" outlineLevel="0" collapsed="false">
      <c r="A28" s="26"/>
      <c r="B28" s="25"/>
      <c r="C28" s="25"/>
      <c r="D28" s="25"/>
      <c r="E28" s="25"/>
      <c r="F28" s="25"/>
      <c r="G28" s="25"/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44"/>
    <col collapsed="false" customWidth="true" hidden="false" outlineLevel="0" max="3" min="3" style="1" width="4"/>
    <col collapsed="false" customWidth="true" hidden="false" outlineLevel="0" max="4" min="4" style="1" width="22"/>
    <col collapsed="false" customWidth="true" hidden="false" outlineLevel="0" max="5" min="5" style="1" width="44"/>
  </cols>
  <sheetData>
    <row r="1" customFormat="false" ht="33.75" hidden="false" customHeight="true" outlineLevel="0" collapsed="false">
      <c r="A1" s="2" t="s">
        <v>185</v>
      </c>
      <c r="B1" s="2"/>
      <c r="C1" s="2"/>
      <c r="D1" s="2"/>
      <c r="E1" s="2"/>
    </row>
    <row r="2" customFormat="false" ht="18" hidden="false" customHeight="true" outlineLevel="0" collapsed="false">
      <c r="A2" s="3" t="s">
        <v>186</v>
      </c>
      <c r="B2" s="3"/>
      <c r="C2" s="3"/>
      <c r="D2" s="3"/>
      <c r="E2" s="3"/>
    </row>
    <row r="4" customFormat="false" ht="15" hidden="false" customHeight="false" outlineLevel="0" collapsed="false">
      <c r="A4" s="14" t="s">
        <v>187</v>
      </c>
    </row>
    <row r="5" customFormat="false" ht="15" hidden="false" customHeight="false" outlineLevel="0" collapsed="false">
      <c r="A5" s="36" t="s">
        <v>188</v>
      </c>
      <c r="B5" s="36"/>
      <c r="C5" s="36"/>
      <c r="D5" s="36"/>
      <c r="E5" s="36"/>
    </row>
    <row r="6" customFormat="false" ht="15" hidden="false" customHeight="false" outlineLevel="0" collapsed="false">
      <c r="A6" s="36" t="s">
        <v>189</v>
      </c>
      <c r="B6" s="36"/>
      <c r="C6" s="36"/>
      <c r="D6" s="36"/>
      <c r="E6" s="36"/>
    </row>
    <row r="7" customFormat="false" ht="15" hidden="false" customHeight="false" outlineLevel="0" collapsed="false">
      <c r="A7" s="36" t="s">
        <v>190</v>
      </c>
      <c r="B7" s="36"/>
      <c r="C7" s="36"/>
      <c r="D7" s="36"/>
      <c r="E7" s="36"/>
    </row>
    <row r="8" customFormat="false" ht="15" hidden="false" customHeight="false" outlineLevel="0" collapsed="false">
      <c r="A8" s="36" t="s">
        <v>191</v>
      </c>
      <c r="B8" s="36"/>
      <c r="C8" s="36"/>
      <c r="D8" s="36"/>
      <c r="E8" s="36"/>
    </row>
    <row r="9" customFormat="false" ht="15" hidden="false" customHeight="false" outlineLevel="0" collapsed="false">
      <c r="A9" s="36" t="s">
        <v>192</v>
      </c>
      <c r="B9" s="36"/>
      <c r="C9" s="36"/>
      <c r="D9" s="36"/>
      <c r="E9" s="36"/>
    </row>
    <row r="11" customFormat="false" ht="15" hidden="false" customHeight="false" outlineLevel="0" collapsed="false">
      <c r="A11" s="14" t="s">
        <v>193</v>
      </c>
      <c r="D11" s="14" t="s">
        <v>194</v>
      </c>
    </row>
    <row r="12" customFormat="false" ht="19.5" hidden="false" customHeight="true" outlineLevel="0" collapsed="false">
      <c r="A12" s="15" t="s">
        <v>195</v>
      </c>
      <c r="B12" s="15" t="s">
        <v>196</v>
      </c>
      <c r="D12" s="15" t="s">
        <v>197</v>
      </c>
      <c r="E12" s="15" t="s">
        <v>196</v>
      </c>
    </row>
    <row r="13" customFormat="false" ht="15" hidden="false" customHeight="false" outlineLevel="0" collapsed="false">
      <c r="A13" s="37" t="s">
        <v>16</v>
      </c>
      <c r="B13" s="16" t="s">
        <v>198</v>
      </c>
      <c r="D13" s="38" t="s">
        <v>199</v>
      </c>
      <c r="E13" s="16" t="s">
        <v>200</v>
      </c>
    </row>
    <row r="14" customFormat="false" ht="15" hidden="false" customHeight="false" outlineLevel="0" collapsed="false">
      <c r="A14" s="39" t="s">
        <v>19</v>
      </c>
      <c r="B14" s="16" t="s">
        <v>201</v>
      </c>
      <c r="D14" s="38" t="s">
        <v>202</v>
      </c>
      <c r="E14" s="16" t="s">
        <v>203</v>
      </c>
    </row>
    <row r="15" customFormat="false" ht="26.85" hidden="false" customHeight="false" outlineLevel="0" collapsed="false">
      <c r="A15" s="40" t="s">
        <v>22</v>
      </c>
      <c r="B15" s="16" t="s">
        <v>204</v>
      </c>
      <c r="D15" s="41" t="s">
        <v>205</v>
      </c>
      <c r="E15" s="16" t="s">
        <v>206</v>
      </c>
    </row>
    <row r="16" customFormat="false" ht="15" hidden="false" customHeight="false" outlineLevel="0" collapsed="false">
      <c r="A16" s="37" t="s">
        <v>25</v>
      </c>
      <c r="B16" s="16" t="s">
        <v>207</v>
      </c>
      <c r="D16" s="42" t="s">
        <v>208</v>
      </c>
      <c r="E16" s="16" t="s">
        <v>209</v>
      </c>
    </row>
    <row r="17" customFormat="false" ht="15" hidden="false" customHeight="false" outlineLevel="0" collapsed="false">
      <c r="D17" s="43" t="s">
        <v>210</v>
      </c>
      <c r="E17" s="16" t="s">
        <v>211</v>
      </c>
    </row>
    <row r="18" customFormat="false" ht="15" hidden="false" customHeight="false" outlineLevel="0" collapsed="false">
      <c r="A18" s="14" t="s">
        <v>212</v>
      </c>
      <c r="D18" s="41" t="s">
        <v>213</v>
      </c>
      <c r="E18" s="16" t="s">
        <v>214</v>
      </c>
    </row>
    <row r="19" customFormat="false" ht="19.5" hidden="false" customHeight="true" outlineLevel="0" collapsed="false">
      <c r="A19" s="15" t="s">
        <v>195</v>
      </c>
      <c r="B19" s="15" t="s">
        <v>196</v>
      </c>
      <c r="D19" s="39" t="s">
        <v>215</v>
      </c>
      <c r="E19" s="16" t="s">
        <v>216</v>
      </c>
    </row>
    <row r="20" customFormat="false" ht="15" hidden="false" customHeight="false" outlineLevel="0" collapsed="false">
      <c r="A20" s="39" t="s">
        <v>17</v>
      </c>
      <c r="B20" s="16" t="s">
        <v>217</v>
      </c>
      <c r="D20" s="44" t="s">
        <v>218</v>
      </c>
      <c r="E20" s="16" t="s">
        <v>219</v>
      </c>
    </row>
    <row r="21" customFormat="false" ht="23.85" hidden="false" customHeight="false" outlineLevel="0" collapsed="false">
      <c r="A21" s="42" t="s">
        <v>20</v>
      </c>
      <c r="B21" s="16" t="s">
        <v>220</v>
      </c>
      <c r="D21" s="37" t="s">
        <v>221</v>
      </c>
      <c r="E21" s="16" t="s">
        <v>222</v>
      </c>
    </row>
    <row r="22" customFormat="false" ht="15" hidden="false" customHeight="false" outlineLevel="0" collapsed="false">
      <c r="A22" s="44" t="s">
        <v>23</v>
      </c>
      <c r="B22" s="16" t="s">
        <v>223</v>
      </c>
    </row>
    <row r="23" customFormat="false" ht="23.85" hidden="false" customHeight="false" outlineLevel="0" collapsed="false">
      <c r="A23" s="41" t="s">
        <v>26</v>
      </c>
      <c r="B23" s="16" t="s">
        <v>224</v>
      </c>
      <c r="D23" s="14" t="s">
        <v>225</v>
      </c>
    </row>
    <row r="24" customFormat="false" ht="19.5" hidden="false" customHeight="true" outlineLevel="0" collapsed="false">
      <c r="A24" s="37" t="s">
        <v>27</v>
      </c>
      <c r="B24" s="16" t="s">
        <v>226</v>
      </c>
      <c r="D24" s="15" t="s">
        <v>195</v>
      </c>
      <c r="E24" s="15" t="s">
        <v>196</v>
      </c>
    </row>
    <row r="25" customFormat="false" ht="15" hidden="false" customHeight="false" outlineLevel="0" collapsed="false">
      <c r="D25" s="41" t="s">
        <v>154</v>
      </c>
      <c r="E25" s="16" t="s">
        <v>227</v>
      </c>
    </row>
    <row r="26" customFormat="false" ht="15" hidden="false" customHeight="false" outlineLevel="0" collapsed="false">
      <c r="D26" s="42" t="s">
        <v>55</v>
      </c>
      <c r="E26" s="16" t="s">
        <v>228</v>
      </c>
    </row>
    <row r="27" customFormat="false" ht="15" hidden="false" customHeight="false" outlineLevel="0" collapsed="false">
      <c r="D27" s="37" t="s">
        <v>229</v>
      </c>
      <c r="E27" s="16" t="s">
        <v>230</v>
      </c>
    </row>
  </sheetData>
  <mergeCells count="7">
    <mergeCell ref="A1:E1"/>
    <mergeCell ref="A2:E2"/>
    <mergeCell ref="A5:E5"/>
    <mergeCell ref="A6:E6"/>
    <mergeCell ref="A7:E7"/>
    <mergeCell ref="A8:E8"/>
    <mergeCell ref="A9:E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4"/>
    <col collapsed="false" customWidth="true" hidden="false" outlineLevel="0" max="3" min="3" style="1" width="24"/>
    <col collapsed="false" customWidth="true" hidden="false" outlineLevel="0" max="4" min="4" style="1" width="70"/>
  </cols>
  <sheetData>
    <row r="1" customFormat="false" ht="33.75" hidden="false" customHeight="true" outlineLevel="0" collapsed="false">
      <c r="A1" s="2" t="s">
        <v>231</v>
      </c>
      <c r="B1" s="2"/>
      <c r="C1" s="2"/>
      <c r="D1" s="2"/>
    </row>
    <row r="2" customFormat="false" ht="18" hidden="false" customHeight="true" outlineLevel="0" collapsed="false">
      <c r="A2" s="3" t="s">
        <v>232</v>
      </c>
      <c r="B2" s="3"/>
      <c r="C2" s="3"/>
      <c r="D2" s="3"/>
    </row>
    <row r="3" customFormat="false" ht="31.5" hidden="false" customHeight="true" outlineLevel="0" collapsed="false">
      <c r="A3" s="15" t="s">
        <v>233</v>
      </c>
      <c r="B3" s="15" t="s">
        <v>234</v>
      </c>
      <c r="C3" s="15" t="s">
        <v>235</v>
      </c>
      <c r="D3" s="15" t="s">
        <v>236</v>
      </c>
    </row>
    <row r="4" customFormat="false" ht="60" hidden="false" customHeight="true" outlineLevel="0" collapsed="false">
      <c r="A4" s="17" t="s">
        <v>237</v>
      </c>
      <c r="B4" s="24" t="n">
        <v>46210</v>
      </c>
      <c r="C4" s="17" t="s">
        <v>18</v>
      </c>
      <c r="D4" s="16" t="s">
        <v>238</v>
      </c>
    </row>
    <row r="5" customFormat="false" ht="60" hidden="false" customHeight="true" outlineLevel="0" collapsed="false">
      <c r="A5" s="17" t="s">
        <v>239</v>
      </c>
      <c r="B5" s="24" t="n">
        <v>46244</v>
      </c>
      <c r="C5" s="17" t="s">
        <v>240</v>
      </c>
      <c r="D5" s="16" t="s">
        <v>241</v>
      </c>
    </row>
    <row r="6" customFormat="false" ht="60" hidden="false" customHeight="true" outlineLevel="0" collapsed="false">
      <c r="A6" s="17" t="s">
        <v>242</v>
      </c>
      <c r="B6" s="24" t="n">
        <v>46244</v>
      </c>
      <c r="C6" s="17" t="s">
        <v>240</v>
      </c>
      <c r="D6" s="16" t="s">
        <v>243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2026-08-10T19:51:35Z</dcterms:created>
  <dc:creator>openpyxl</dc:creator>
  <dc:description/>
  <dc:language>en-US</dc:language>
  <cp:lastModifiedBy/>
  <dcterms:modified xsi:type="dcterms:W3CDTF">2026-08-10T19:52:44Z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